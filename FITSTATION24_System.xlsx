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embers" sheetId="2" state="visible" r:id="rId4"/>
    <sheet name="Sales" sheetId="3" state="visible" r:id="rId5"/>
    <sheet name="Trainings" sheetId="4" state="visible" r:id="rId6"/>
    <sheet name="Daily_Summary" sheetId="5" state="visible" r:id="rId7"/>
    <sheet name="Alerts" sheetId="6" state="visible" r:id="rId8"/>
    <sheet name="Employees" sheetId="7" state="visible" r:id="rId9"/>
    <sheet name="Settings" sheetId="8" state="visible" r:id="rId10"/>
    <sheet name="Login_Log" sheetId="9" state="visible" r:id="rId11"/>
    <sheet name="README" sheetId="10" state="visible" r:id="rId12"/>
  </sheets>
  <definedNames>
    <definedName function="false" hidden="true" localSheetId="5" name="_xlnm._FilterDatabase" vbProcedure="false">Alerts!$B$2:$I$100</definedName>
    <definedName function="false" hidden="true" localSheetId="6" name="_xlnm._FilterDatabase" vbProcedure="false">Employees!$B$2:$I$40</definedName>
    <definedName function="false" hidden="true" localSheetId="1" name="_xlnm._FilterDatabase" vbProcedure="false">Members!$B$2:$M$100</definedName>
    <definedName function="false" hidden="true" localSheetId="2" name="_xlnm._FilterDatabase" vbProcedure="false">Sales!$B$2:$L$100</definedName>
    <definedName function="false" hidden="true" localSheetId="3" name="_xlnm._FilterDatabase" vbProcedure="false">Trainings!$B$2:$J$100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<sst xmlns="http://schemas.openxmlformats.org/spreadsheetml/2006/main" count="302" uniqueCount="178">
  <si>
    <t xml:space="preserve">FITSTATION 24 — Live Dashboard</t>
  </si>
  <si>
    <t xml:space="preserve">ยอดวันนี้ (ทุกสาขา) · ข้อมูลเรียลไทม์เวลาไทย</t>
  </si>
  <si>
    <t xml:space="preserve">ยอดรวมวันนี้ (฿)</t>
  </si>
  <si>
    <t xml:space="preserve">MEM วันนี้</t>
  </si>
  <si>
    <t xml:space="preserve">PT วันนี้</t>
  </si>
  <si>
    <t xml:space="preserve">เทรนวันนี้</t>
  </si>
  <si>
    <t xml:space="preserve">ยอดวันนี้แยกตามสาขา</t>
  </si>
  <si>
    <t xml:space="preserve">สาขา</t>
  </si>
  <si>
    <t xml:space="preserve">MEM (฿)</t>
  </si>
  <si>
    <t xml:space="preserve">PT (฿)</t>
  </si>
  <si>
    <t xml:space="preserve">Plan (฿)</t>
  </si>
  <si>
    <t xml:space="preserve">รวม (฿)</t>
  </si>
  <si>
    <t xml:space="preserve">เทรน (ครั้ง)</t>
  </si>
  <si>
    <t xml:space="preserve">ยอดรวมเดือนนี้ (฿)</t>
  </si>
  <si>
    <t xml:space="preserve">เกินกำหนด</t>
  </si>
  <si>
    <t xml:space="preserve">BR01</t>
  </si>
  <si>
    <t xml:space="preserve">BR02</t>
  </si>
  <si>
    <t xml:space="preserve">BR03</t>
  </si>
  <si>
    <t xml:space="preserve">รวม</t>
  </si>
  <si>
    <t xml:space="preserve">ยอดล่าสุด 5 รายการ</t>
  </si>
  <si>
    <t xml:space="preserve">เวลา</t>
  </si>
  <si>
    <t xml:space="preserve">ประเภท</t>
  </si>
  <si>
    <t xml:space="preserve">พนักงาน</t>
  </si>
  <si>
    <t xml:space="preserve">สมาชิก</t>
  </si>
  <si>
    <t xml:space="preserve">ยอด (฿)</t>
  </si>
  <si>
    <t xml:space="preserve">สลิป</t>
  </si>
  <si>
    <t xml:space="preserve">Notify</t>
  </si>
  <si>
    <t xml:space="preserve">ดูรายละเอียดเพิ่มเติมได้ในชีต Sales / Trainings / Members  ·  สรุปย้อนหลังในชีต Daily_Summary</t>
  </si>
  <si>
    <t xml:space="preserve">ฐานข้อมูลสมาชิก</t>
  </si>
  <si>
    <t xml:space="preserve">MemberID</t>
  </si>
  <si>
    <t xml:space="preserve">ชื่อ</t>
  </si>
  <si>
    <t xml:space="preserve">นามสกุล</t>
  </si>
  <si>
    <t xml:space="preserve">อายุ</t>
  </si>
  <si>
    <t xml:space="preserve">วันสมัคร</t>
  </si>
  <si>
    <t xml:space="preserve">วันหมดอายุ</t>
  </si>
  <si>
    <t xml:space="preserve">วันคงเหลือ</t>
  </si>
  <si>
    <t xml:space="preserve">ชม.เทรนคงเหลือ</t>
  </si>
  <si>
    <t xml:space="preserve">เทรนเนอร์ประจำ</t>
  </si>
  <si>
    <t xml:space="preserve">LINE User ID</t>
  </si>
  <si>
    <t xml:space="preserve">สถานะ</t>
  </si>
  <si>
    <t xml:space="preserve">M0001</t>
  </si>
  <si>
    <t xml:space="preserve">ปกรณ์</t>
  </si>
  <si>
    <t xml:space="preserve">สมิธ</t>
  </si>
  <si>
    <t xml:space="preserve">วิชัย</t>
  </si>
  <si>
    <t xml:space="preserve">Uxxxx1</t>
  </si>
  <si>
    <t xml:space="preserve">Active</t>
  </si>
  <si>
    <t xml:space="preserve">M0002</t>
  </si>
  <si>
    <t xml:space="preserve">นภัสกร</t>
  </si>
  <si>
    <t xml:space="preserve">ใจกล้า</t>
  </si>
  <si>
    <t xml:space="preserve">พิมพ์</t>
  </si>
  <si>
    <t xml:space="preserve">Uxxxx2</t>
  </si>
  <si>
    <t xml:space="preserve">M0003</t>
  </si>
  <si>
    <t xml:space="preserve">สิรินทรา</t>
  </si>
  <si>
    <t xml:space="preserve">วงศ์ทอง</t>
  </si>
  <si>
    <t xml:space="preserve">M0004</t>
  </si>
  <si>
    <t xml:space="preserve">ธนวัฒน์</t>
  </si>
  <si>
    <t xml:space="preserve">อยู่ดี</t>
  </si>
  <si>
    <t xml:space="preserve">Uxxxx3</t>
  </si>
  <si>
    <t xml:space="preserve">M0005</t>
  </si>
  <si>
    <t xml:space="preserve">อรณิชา</t>
  </si>
  <si>
    <t xml:space="preserve">พิทักษ์</t>
  </si>
  <si>
    <t xml:space="preserve">ประวัติการขาย (เรียลไทม์ · เวลาไทย)</t>
  </si>
  <si>
    <t xml:space="preserve">Timestamp</t>
  </si>
  <si>
    <t xml:space="preserve">EmpID</t>
  </si>
  <si>
    <t xml:space="preserve">ชื่อสมาชิก</t>
  </si>
  <si>
    <t xml:space="preserve">จำนวนเงิน</t>
  </si>
  <si>
    <t xml:space="preserve">สลิป (URL)</t>
  </si>
  <si>
    <t xml:space="preserve">หมายเหตุ</t>
  </si>
  <si>
    <t xml:space="preserve">LINE Notify</t>
  </si>
  <si>
    <t xml:space="preserve">Notify เวลา</t>
  </si>
  <si>
    <t xml:space="preserve">E002</t>
  </si>
  <si>
    <t xml:space="preserve">MEM</t>
  </si>
  <si>
    <t xml:space="preserve">สิรินทรา วงศ์ทอง</t>
  </si>
  <si>
    <t xml:space="preserve">สมัคร 12 เดือน</t>
  </si>
  <si>
    <t xml:space="preserve">Pending</t>
  </si>
  <si>
    <t xml:space="preserve">E003</t>
  </si>
  <si>
    <t xml:space="preserve">PT</t>
  </si>
  <si>
    <t xml:space="preserve">ปกรณ์ สมิธ</t>
  </si>
  <si>
    <t xml:space="preserve">PT 10 ครั้ง</t>
  </si>
  <si>
    <t xml:space="preserve">Plan</t>
  </si>
  <si>
    <t xml:space="preserve">Plan รายวัน</t>
  </si>
  <si>
    <t xml:space="preserve">—</t>
  </si>
  <si>
    <t xml:space="preserve">E005</t>
  </si>
  <si>
    <t xml:space="preserve">Train</t>
  </si>
  <si>
    <t xml:space="preserve">อรณิชา พิทักษ์</t>
  </si>
  <si>
    <t xml:space="preserve">บันทึกเทรน</t>
  </si>
  <si>
    <t xml:space="preserve">บันทึกการเทรน (หักชั่วโมงอัตโนมัติเมื่อรหัสเมเนเจอร์ถูกต้อง)</t>
  </si>
  <si>
    <t xml:space="preserve">TrainerID</t>
  </si>
  <si>
    <t xml:space="preserve">ชื่อเทรนเนอร์</t>
  </si>
  <si>
    <t xml:space="preserve">Manager Pwd</t>
  </si>
  <si>
    <t xml:space="preserve">ตรวจสอบ</t>
  </si>
  <si>
    <t xml:space="preserve">สรุปยอดรายวัน</t>
  </si>
  <si>
    <t xml:space="preserve">วันที่</t>
  </si>
  <si>
    <t xml:space="preserve">งานเข้า</t>
  </si>
  <si>
    <t xml:space="preserve">รวมทุกสาขา (฿)</t>
  </si>
  <si>
    <t xml:space="preserve">ยอด 14 วัน (฿)</t>
  </si>
  <si>
    <t xml:space="preserve">การแจ้งเตือน — สมาชิกใกล้หมดอายุ / เทรนใกล้หมด</t>
  </si>
  <si>
    <t xml:space="preserve">ค่าที่เหลือ</t>
  </si>
  <si>
    <t xml:space="preserve">ข้อความ</t>
  </si>
  <si>
    <t xml:space="preserve">พนักงาน FITSTATION 24</t>
  </si>
  <si>
    <t xml:space="preserve">ตำแหน่ง</t>
  </si>
  <si>
    <t xml:space="preserve">Role</t>
  </si>
  <si>
    <t xml:space="preserve">อีเมล</t>
  </si>
  <si>
    <t xml:space="preserve">E001</t>
  </si>
  <si>
    <t xml:space="preserve">สมชาย</t>
  </si>
  <si>
    <t xml:space="preserve">ใจดี</t>
  </si>
  <si>
    <t xml:space="preserve">ผู้จัดการสาขา</t>
  </si>
  <si>
    <t xml:space="preserve">Manager</t>
  </si>
  <si>
    <t xml:space="preserve">manager.br1@fit.com</t>
  </si>
  <si>
    <t xml:space="preserve">สมหญิง</t>
  </si>
  <si>
    <t xml:space="preserve">สวยงาม</t>
  </si>
  <si>
    <t xml:space="preserve">เคาน์เตอร์</t>
  </si>
  <si>
    <t xml:space="preserve">Staff</t>
  </si>
  <si>
    <t xml:space="preserve">staff.br1@fit.com</t>
  </si>
  <si>
    <t xml:space="preserve">แข็งแรง</t>
  </si>
  <si>
    <t xml:space="preserve">เทรนเนอร์</t>
  </si>
  <si>
    <t xml:space="preserve">Trainer</t>
  </si>
  <si>
    <t xml:space="preserve">trainer1@fit.com</t>
  </si>
  <si>
    <t xml:space="preserve">E004</t>
  </si>
  <si>
    <t xml:space="preserve">ฟิตเนส</t>
  </si>
  <si>
    <t xml:space="preserve">trainer2@fit.com</t>
  </si>
  <si>
    <t xml:space="preserve">อนันต์</t>
  </si>
  <si>
    <t xml:space="preserve">เอกชัย</t>
  </si>
  <si>
    <t xml:space="preserve">manager.br2@fit.com</t>
  </si>
  <si>
    <t xml:space="preserve">Settings — ค่าระบบ (สำคัญมาก, ตั้งสิทธิ์ให้เฉพาะ Owner)</t>
  </si>
  <si>
    <t xml:space="preserve">A. รายชื่อสาขา + LINE OA</t>
  </si>
  <si>
    <t xml:space="preserve">รหัส</t>
  </si>
  <si>
    <t xml:space="preserve">ชื่อสาขา</t>
  </si>
  <si>
    <t xml:space="preserve">LINE Channel Access Token (Messaging API)</t>
  </si>
  <si>
    <t xml:space="preserve">LINE Group ID (เช็คยอด)</t>
  </si>
  <si>
    <t xml:space="preserve">Manager Email</t>
  </si>
  <si>
    <t xml:space="preserve">Manager Password</t>
  </si>
  <si>
    <t xml:space="preserve">FITSTATION 24 - สาขา 1</t>
  </si>
  <si>
    <t xml:space="preserve">&lt;&lt;วาง_CHANNEL_ACCESS_TOKEN_ที่นี่&gt;&gt;</t>
  </si>
  <si>
    <t xml:space="preserve">&lt;&lt;LINE_GROUP_ID_สาขา1&gt;&gt;</t>
  </si>
  <si>
    <t xml:space="preserve">owner@fitstation24.com</t>
  </si>
  <si>
    <t xml:space="preserve">Manager#1234</t>
  </si>
  <si>
    <t xml:space="preserve">FITSTATION 24 - สาขา 2</t>
  </si>
  <si>
    <t xml:space="preserve">&lt;&lt;LINE_GROUP_ID_สาขา2&gt;&gt;</t>
  </si>
  <si>
    <t xml:space="preserve">Manager#5678</t>
  </si>
  <si>
    <t xml:space="preserve">FITSTATION 24 - สาขา 3</t>
  </si>
  <si>
    <t xml:space="preserve">&lt;&lt;LINE_GROUP_ID_สาขา3&gt;&gt;</t>
  </si>
  <si>
    <t xml:space="preserve">Manager#9012</t>
  </si>
  <si>
    <t xml:space="preserve">B. ค่าทั่วไป</t>
  </si>
  <si>
    <t xml:space="preserve">พารามิเตอร์</t>
  </si>
  <si>
    <t xml:space="preserve">ค่า</t>
  </si>
  <si>
    <t xml:space="preserve">คำอธิบาย</t>
  </si>
  <si>
    <t xml:space="preserve">Timezone</t>
  </si>
  <si>
    <t xml:space="preserve">Asia/Bangkok</t>
  </si>
  <si>
    <t xml:space="preserve">เขตเวลาอ้างอิงสำหรับเวลาไทยและตัว trigger</t>
  </si>
  <si>
    <t xml:space="preserve">Member expiry warning (วัน)</t>
  </si>
  <si>
    <t xml:space="preserve">แจ้งเตือนก่อนสมาชิกหมดอายุล่วงหน้ากี่วัน</t>
  </si>
  <si>
    <t xml:space="preserve">Trainer hours warning (ครั้ง)</t>
  </si>
  <si>
    <t xml:space="preserve">แจ้งเตือนเมื่อชั่วโมงเทรนคงเหลือ ≤ ค่านี้</t>
  </si>
  <si>
    <t xml:space="preserve">Daily decrement time</t>
  </si>
  <si>
    <t xml:space="preserve">00:00</t>
  </si>
  <si>
    <t xml:space="preserve">เวลาที่ระบบลดวันอัตโนมัติ (กำหนดที่ trigger)</t>
  </si>
  <si>
    <t xml:space="preserve">Daily summary time</t>
  </si>
  <si>
    <t xml:space="preserve">21:00</t>
  </si>
  <si>
    <t xml:space="preserve">เวลาที่ส่งสรุปยอดเข้า LINE Group</t>
  </si>
  <si>
    <t xml:space="preserve">Currency symbol</t>
  </si>
  <si>
    <t xml:space="preserve">฿</t>
  </si>
  <si>
    <t xml:space="preserve">ใช้แสดงในข้อความ LINE / สรุป</t>
  </si>
  <si>
    <t xml:space="preserve">บันทึกการเข้าใช้ระบบ (Audit log)</t>
  </si>
  <si>
    <t xml:space="preserve">Email</t>
  </si>
  <si>
    <t xml:space="preserve">Action</t>
  </si>
  <si>
    <t xml:space="preserve">FITSTATION 24 — ระบบจัดการฟิตเนส</t>
  </si>
  <si>
    <t xml:space="preserve">Google Sheets + Apps Script + LINE OA · รองรับหลายสาขา</t>
  </si>
  <si>
    <t xml:space="preserve">ภาพรวมโครงสร้าง</t>
  </si>
  <si>
    <t xml:space="preserve">Workbook นี้ออกแบบให้ทำงานคู่กับ Apps Script ใน Google Sheets — ฟังก์ชัน Excel ใช้ได้ปกติบนเครื่อง แต่การแจ้งเตือน LINE / ลดวันอัตโนมัติ / ตรวจรหัสเมเนเจอร์ ทำงานเมื่อนำขึ้น Google Sheets แล้วติดตั้ง Code.gs</t>
  </si>
  <si>
    <t xml:space="preserve">ลำดับการเซ็ตอัพ</t>
  </si>
  <si>
    <t xml:space="preserve">1) อัปโหลดไฟล์นี้ขึ้น Google Drive  →  คลิกขวา Open with Google Sheets  →  ไฟล์จะถูกแปลงเป็น Sheets อัตโนมัติ
2) เปิดเมนู Extensions → Apps Script → ลบโค้ดเปล่า แล้ววางเนื้อหาไฟล์ Code.gs
3) ใส่ค่า LINE Channel Token / Group ID / รหัสเมเนเจอร์ในชีต Settings
4) ใน Apps Script เลือกฟังก์ชัน installTriggers แล้วกด Run (อนุญาตสิทธิ์ครั้งเดียว)
5) เพิ่มอีเมลผู้ใช้ในแต่ละสาขา ใน Share (สิทธิ์ Editor หรือ Commenter ตาม Role)</t>
  </si>
  <si>
    <t xml:space="preserve">ชีตและหน้าที่</t>
  </si>
  <si>
    <t xml:space="preserve">• Settings — ค่าระบบ (token, group, รหัส, สาขา) — ตั้ง View/Edit ให้เฉพาะเจ้าของ
• Employees — ทะเบียนพนักงานและสาขาที่สังกัด
• Members — ฐานข้อมูลสมาชิก, อายุ, ชั่วโมงเทรนคงเหลือ, วันคงเหลือ (สูตร)
• Sales — บันทึกยอดขาย MEM/PT/Plan แนบสลิป → ทริกเกอร์ส่งเข้า LINE Group
• Trainings — บันทึกการเทรน (ชื่อผู้เทรน + รหัสเมเนเจอร์) → ลดชั่วโมง 1 ครั้ง
• Daily_Summary — สรุปยอดรายวัน + กราฟ (อัปเดตอัตโนมัติ)
• Alerts — รายการแจ้งเตือนล่าสุด (สมาชิกใกล้หมดอายุ / เทรนเหลือ ≤ 3)
• Login_Log — บันทึกการเข้าใช้แต่ละครั้ง (มาจาก Apps Script)</t>
  </si>
  <si>
    <t xml:space="preserve">ระบบ Login + Role</t>
  </si>
  <si>
    <t xml:space="preserve">Google Sheets ใช้ระบบสิทธิ์ของ Google โดยตรง — Apps Script จะตรวจอีเมลผู้ใช้ (Session.getActiveUser().getEmail())
แล้วเทียบกับชีต Settings → กำหนดได้ว่าใครเห็น/แก้ชีตไหน (ใช้ Protect Range)
Role ที่รองรับ: Owner / Manager / Staff / Trainer  — ตั้งค่าในชีต Employees คอลัมน์ Role</t>
  </si>
  <si>
    <t xml:space="preserve">สำคัญ</t>
  </si>
  <si>
    <t xml:space="preserve">• อย่าลบหัวคอลัมน์ในแต่ละชีต — Apps Script อ้างชื่อหัวคอลัมน์โดยตรง
• ห้ามใช้ตัวอักษรพิเศษในชื่อสาขา (เช่น /, \, ?) เพราะจะใช้เป็นกุญแจอ้างใน Settings
• สำรองข้อมูลเดือนละครั้ง: File → Make a copy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</si>
</sst>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 mmm\ yyyy&quot;  &quot;hh:mm"/>
    <numFmt numFmtId="166" formatCode="#,##0"/>
    <numFmt numFmtId="167" formatCode="0"/>
    <numFmt numFmtId="168" formatCode="#,##0;\-#,##0;\-"/>
    <numFmt numFmtId="169" formatCode="dd\ mmm\ hh:mm"/>
    <numFmt numFmtId="170" formatCode="dd\ mmm\ yyyy"/>
    <numFmt numFmtId="171" formatCode="dd\ mmm\ yyyy\ hh:mm"/>
    <numFmt numFmtId="172" formatCode="dd\ mmm"/>
    <numFmt numFmtId="173" formatCode="dd\ mmm\ yyyy\ hh:mm:ss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B132B"/>
      <name val="Arial"/>
      <family val="0"/>
      <charset val="1"/>
    </font>
    <font>
      <b val="true"/>
      <sz val="14"/>
      <color rgb="FFFF5C00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4"/>
      <color rgb="FFFF5C00"/>
      <name val="Arial"/>
      <family val="0"/>
      <charset val="1"/>
    </font>
    <font>
      <b val="true"/>
      <sz val="24"/>
      <color rgb="FF5BC0BE"/>
      <name val="Arial"/>
      <family val="0"/>
      <charset val="1"/>
    </font>
    <font>
      <b val="true"/>
      <sz val="24"/>
      <color rgb="FF16A34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1"/>
      <color rgb="FF1F2A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B132B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color rgb="FF1F2A44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6"/>
      <color rgb="FF0B132B"/>
      <name val="Arial"/>
      <family val="0"/>
      <charset val="1"/>
    </font>
    <font>
      <b val="true"/>
      <sz val="18"/>
      <color rgb="FF0B132B"/>
      <name val="Arial"/>
      <family val="0"/>
      <charset val="1"/>
    </font>
    <font>
      <b val="true"/>
      <sz val="18"/>
      <color rgb="FF000000"/>
      <name val="DejaVu 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DejaVu Sans"/>
      <family val="2"/>
    </font>
    <font>
      <b val="true"/>
      <sz val="10"/>
      <color rgb="FF000000"/>
      <name val="Calibri"/>
      <family val="2"/>
    </font>
    <font>
      <b val="true"/>
      <sz val="12"/>
      <color rgb="FFFF5C00"/>
      <name val="Arial"/>
      <family val="0"/>
      <charset val="1"/>
    </font>
    <font>
      <sz val="10"/>
      <color rgb="FF6B7280"/>
      <name val="Arial"/>
      <family val="0"/>
      <charset val="1"/>
    </font>
    <font>
      <i val="true"/>
      <sz val="12"/>
      <color rgb="FF6B7280"/>
      <name val="Arial"/>
      <family val="0"/>
      <charset val="1"/>
    </font>
    <font>
      <b val="true"/>
      <sz val="13"/>
      <color rgb="FFFF5C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4F4F5"/>
        <bgColor rgb="FFFFFFFF"/>
      </patternFill>
    </fill>
    <fill>
      <patternFill patternType="solid">
        <fgColor rgb="FFFF5C00"/>
        <bgColor rgb="FFC0504D"/>
      </patternFill>
    </fill>
    <fill>
      <patternFill patternType="solid">
        <fgColor rgb="FF0B132B"/>
        <bgColor rgb="FF000000"/>
      </patternFill>
    </fill>
    <fill>
      <patternFill patternType="solid">
        <fgColor rgb="FF5BC0BE"/>
        <bgColor rgb="FF99CCFF"/>
      </patternFill>
    </fill>
    <fill>
      <patternFill patternType="solid">
        <fgColor rgb="FF16A34A"/>
        <bgColor rgb="FF008080"/>
      </patternFill>
    </fill>
    <fill>
      <patternFill patternType="solid">
        <fgColor rgb="FFFFFFFF"/>
        <bgColor rgb="FFF4F4F5"/>
      </patternFill>
    </fill>
    <fill>
      <patternFill patternType="solid">
        <fgColor rgb="FFE5E7EB"/>
        <bgColor rgb="FFDBEA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2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2" fillId="2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3" fillId="2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8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2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17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7" fillId="2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7" fillId="0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8" fontId="16" fillId="0" borderId="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1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17" fillId="0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0B13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A4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DC2626"/>
          <bgColor rgb="FF000000"/>
        </patternFill>
      </fill>
    </dxf>
    <dxf>
      <font>
        <b val="1"/>
        <color rgb="FFDC2626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16A34A"/>
      </font>
      <fill>
        <patternFill>
          <bgColor rgb="FFDCFCE7"/>
        </patternFill>
      </fill>
    </dxf>
    <dxf>
      <font>
        <b val="1"/>
        <color rgb="FF1E40AF"/>
      </font>
      <fill>
        <patternFill>
          <bgColor rgb="FFDBEAFE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5E7EB"/>
      <rgbColor rgb="FFF4F4F5"/>
      <rgbColor rgb="FF99CCFF"/>
      <rgbColor rgb="FFFF99CC"/>
      <rgbColor rgb="FFCC99FF"/>
      <rgbColor rgb="FFFEE2E2"/>
      <rgbColor rgb="FF4A7EBB"/>
      <rgbColor rgb="FF5BC0BE"/>
      <rgbColor rgb="FF9BBB59"/>
      <rgbColor rgb="FFFFCC00"/>
      <rgbColor rgb="FFFF9900"/>
      <rgbColor rgb="FFFF5C00"/>
      <rgbColor rgb="FF6B7280"/>
      <rgbColor rgb="FF4F81BD"/>
      <rgbColor rgb="FF003366"/>
      <rgbColor rgb="FF16A34A"/>
      <rgbColor rgb="FF0B132B"/>
      <rgbColor rgb="FF333300"/>
      <rgbColor rgb="FF92400E"/>
      <rgbColor rgb="FF993366"/>
      <rgbColor rgb="FF1E40AF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ยอดขายรวมรายวัน (14 วันล่าสุด)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Daily_Summary!L2</c:f>
              <c:strCache>
                <c:ptCount val="1"/>
                <c:pt idx="0">
                  <c:v>รวมทุกสาขา (฿)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Daily_Summary!$K$3:$K$16</c:f>
              <c:strCache>
                <c:ptCount val="14"/>
                <c:pt idx="0">
                  <c:v>20 Apr</c:v>
                </c:pt>
                <c:pt idx="1">
                  <c:v>21 Apr</c:v>
                </c:pt>
                <c:pt idx="2">
                  <c:v>22 Apr</c:v>
                </c:pt>
                <c:pt idx="3">
                  <c:v>23 Apr</c:v>
                </c:pt>
                <c:pt idx="4">
                  <c:v>24 Apr</c:v>
                </c:pt>
                <c:pt idx="5">
                  <c:v>25 Apr</c:v>
                </c:pt>
                <c:pt idx="6">
                  <c:v>26 Apr</c:v>
                </c:pt>
                <c:pt idx="7">
                  <c:v>27 Apr</c:v>
                </c:pt>
                <c:pt idx="8">
                  <c:v>28 Apr</c:v>
                </c:pt>
                <c:pt idx="9">
                  <c:v>29 Apr</c:v>
                </c:pt>
                <c:pt idx="10">
                  <c:v>30 Apr</c:v>
                </c:pt>
                <c:pt idx="11">
                  <c:v>01 May</c:v>
                </c:pt>
                <c:pt idx="12">
                  <c:v>02 May</c:v>
                </c:pt>
                <c:pt idx="13">
                  <c:v>03 May</c:v>
                </c:pt>
              </c:strCache>
            </c:strRef>
          </c:cat>
          <c:val>
            <c:numRef>
              <c:f>Daily_Summary!$L$3:$L$16</c:f>
              <c:numCache>
                <c:formatCode>#,##0;\-#,##0;\-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20500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868026"/>
        <c:axId val="37332419"/>
      </c:lineChart>
      <c:catAx>
        <c:axId val="638680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วันที่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 m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332419"/>
        <c:crosses val="autoZero"/>
        <c:auto val="1"/>
        <c:lblAlgn val="ctr"/>
        <c:lblOffset val="100"/>
        <c:noMultiLvlLbl val="0"/>
      </c:catAx>
      <c:valAx>
        <c:axId val="373324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ยอด (฿)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86802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สัดส่วนยอดตามสาขา (14 วัน)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Daily_Summary!L20</c:f>
              <c:strCache>
                <c:ptCount val="1"/>
                <c:pt idx="0">
                  <c:v>ยอด 14 วัน (฿)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Daily_Summary!$K$21:$K$23</c:f>
              <c:strCache>
                <c:ptCount val="3"/>
                <c:pt idx="0">
                  <c:v>BR01</c:v>
                </c:pt>
                <c:pt idx="1">
                  <c:v>BR02</c:v>
                </c:pt>
                <c:pt idx="2">
                  <c:v>BR03</c:v>
                </c:pt>
              </c:strCache>
            </c:strRef>
          </c:cat>
          <c:val>
            <c:numRef>
              <c:f>Daily_Summary!$L$21:$L$23</c:f>
              <c:numCache>
                <c:formatCode>#,##0</c:formatCode>
                <c:ptCount val="3"/>
                <c:pt idx="0">
                  <c:v>20500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47</xdr:row>
      <xdr:rowOff>0</xdr:rowOff>
    </xdr:from>
    <xdr:to>
      <xdr:col>7</xdr:col>
      <xdr:colOff>840960</xdr:colOff>
      <xdr:row>64</xdr:row>
      <xdr:rowOff>1080</xdr:rowOff>
    </xdr:to>
    <xdr:graphicFrame>
      <xdr:nvGraphicFramePr>
        <xdr:cNvPr id="1" name="Chart 1"/>
        <xdr:cNvGraphicFramePr/>
      </xdr:nvGraphicFramePr>
      <xdr:xfrm>
        <a:off x="141120" y="109537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67</xdr:row>
      <xdr:rowOff>0</xdr:rowOff>
    </xdr:from>
    <xdr:to>
      <xdr:col>5</xdr:col>
      <xdr:colOff>654480</xdr:colOff>
      <xdr:row>82</xdr:row>
      <xdr:rowOff>21960</xdr:rowOff>
    </xdr:to>
    <xdr:graphicFrame>
      <xdr:nvGraphicFramePr>
        <xdr:cNvPr id="2" name="Chart 2"/>
        <xdr:cNvGraphicFramePr/>
      </xdr:nvGraphicFramePr>
      <xdr:xfrm>
        <a:off x="141120" y="147636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9" min="2" style="0" width="22"/>
    <col collapsed="false" customWidth="true" hidden="false" outlineLevel="0" max="10" min="10" style="0" width="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42" hidden="false" customHeight="true" outlineLevel="0" collapsed="false">
      <c r="A2" s="1"/>
      <c r="B2" s="2" t="s">
        <v>0</v>
      </c>
      <c r="C2" s="2"/>
      <c r="D2" s="2"/>
      <c r="E2" s="2"/>
      <c r="F2" s="3" t="n">
        <f aca="true">NOW()</f>
        <v>46145.6519532677</v>
      </c>
      <c r="G2" s="3"/>
      <c r="H2" s="3"/>
      <c r="I2" s="3"/>
      <c r="J2" s="1"/>
    </row>
    <row r="3" customFormat="false" ht="15" hidden="false" customHeight="false" outlineLevel="0" collapsed="false">
      <c r="A3" s="1"/>
      <c r="B3" s="4" t="s">
        <v>1</v>
      </c>
      <c r="C3" s="4"/>
      <c r="D3" s="4"/>
      <c r="E3" s="4"/>
      <c r="F3" s="4"/>
      <c r="G3" s="4"/>
      <c r="H3" s="4"/>
      <c r="I3" s="4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21.75" hidden="false" customHeight="true" outlineLevel="0" collapsed="false">
      <c r="A5" s="1"/>
      <c r="B5" s="5" t="s">
        <v>2</v>
      </c>
      <c r="C5" s="5"/>
      <c r="D5" s="6" t="s">
        <v>3</v>
      </c>
      <c r="E5" s="6"/>
      <c r="F5" s="7" t="s">
        <v>4</v>
      </c>
      <c r="G5" s="7"/>
      <c r="H5" s="8" t="s">
        <v>5</v>
      </c>
      <c r="I5" s="8"/>
      <c r="J5" s="1"/>
    </row>
    <row r="6" customFormat="false" ht="48" hidden="false" customHeight="true" outlineLevel="0" collapsed="false">
      <c r="A6" s="1"/>
      <c r="B6" s="9" t="n">
        <f aca="true">SUMIFS(Sales!$H:$H, Sales!$E:$E,"&lt;&gt;Train", Sales!$B:$B,"&gt;="&amp;TODAY(), Sales!$B:$B,"&lt;"&amp;TODAY()+1)</f>
        <v>20500</v>
      </c>
      <c r="C6" s="9"/>
      <c r="D6" s="10" t="n">
        <f aca="true">COUNTIFS(Sales!$E:$E,"MEM", Sales!$B:$B,"&gt;="&amp;TODAY(), Sales!$B:$B,"&lt;"&amp;TODAY()+1)</f>
        <v>1</v>
      </c>
      <c r="E6" s="10"/>
      <c r="F6" s="11" t="n">
        <f aca="true">COUNTIFS(Sales!$E:$E,"PT",  Sales!$B:$B,"&gt;="&amp;TODAY(), Sales!$B:$B,"&lt;"&amp;TODAY()+1)</f>
        <v>1</v>
      </c>
      <c r="G6" s="11"/>
      <c r="H6" s="12" t="n">
        <f aca="true">COUNTIFS(Trainings!$I:$I,"✓ Verified", Trainings!$B:$B,"&gt;="&amp;TODAY(), Trainings!$B:$B,"&lt;"&amp;TODAY()+1)</f>
        <v>0</v>
      </c>
      <c r="I6" s="12"/>
      <c r="J6" s="1"/>
    </row>
    <row r="7" customFormat="false" ht="15.7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</row>
    <row r="9" customFormat="false" ht="24" hidden="false" customHeight="true" outlineLevel="0" collapsed="false">
      <c r="A9" s="1"/>
      <c r="B9" s="13" t="s">
        <v>6</v>
      </c>
      <c r="C9" s="13"/>
      <c r="D9" s="13"/>
      <c r="E9" s="13"/>
      <c r="F9" s="13"/>
      <c r="G9" s="13"/>
      <c r="H9" s="13"/>
      <c r="I9" s="13"/>
      <c r="J9" s="1"/>
    </row>
    <row r="10" customFormat="false" ht="30" hidden="false" customHeight="true" outlineLevel="0" collapsed="false">
      <c r="A10" s="1"/>
      <c r="B10" s="14" t="s">
        <v>7</v>
      </c>
      <c r="C10" s="14" t="s">
        <v>8</v>
      </c>
      <c r="D10" s="14" t="s">
        <v>9</v>
      </c>
      <c r="E10" s="14" t="s">
        <v>10</v>
      </c>
      <c r="F10" s="14" t="s">
        <v>11</v>
      </c>
      <c r="G10" s="14" t="s">
        <v>12</v>
      </c>
      <c r="H10" s="14" t="s">
        <v>13</v>
      </c>
      <c r="I10" s="14" t="s">
        <v>14</v>
      </c>
      <c r="J10" s="1"/>
    </row>
    <row r="11" customFormat="false" ht="25.5" hidden="false" customHeight="true" outlineLevel="0" collapsed="false">
      <c r="A11" s="1"/>
      <c r="B11" s="15" t="s">
        <v>15</v>
      </c>
      <c r="C11" s="16" t="n">
        <f aca="true">SUMIFS(Sales!$H:$H, Sales!$C:$C,$B11, Sales!$E:$E,"MEM",  Sales!$B:$B,"&gt;="&amp;TODAY(), Sales!$B:$B,"&lt;"&amp;TODAY()+1)</f>
        <v>12000</v>
      </c>
      <c r="D11" s="16" t="n">
        <f aca="true">SUMIFS(Sales!$H:$H, Sales!$C:$C,$B11, Sales!$E:$E,"PT",   Sales!$B:$B,"&gt;="&amp;TODAY(), Sales!$B:$B,"&lt;"&amp;TODAY()+1)</f>
        <v>8000</v>
      </c>
      <c r="E11" s="16" t="n">
        <f aca="true">SUMIFS(Sales!$H:$H, Sales!$C:$C,$B11, Sales!$E:$E,"Plan", Sales!$B:$B,"&gt;="&amp;TODAY(), Sales!$B:$B,"&lt;"&amp;TODAY()+1)</f>
        <v>500</v>
      </c>
      <c r="F11" s="17" t="n">
        <f aca="false">SUM(C11:E11)</f>
        <v>20500</v>
      </c>
      <c r="G11" s="18" t="n">
        <f aca="true">COUNTIFS(Trainings!$C:$C,$B11, Trainings!$I:$I,"✓ Verified", Trainings!$B:$B,"&gt;="&amp;TODAY(), Trainings!$B:$B,"&lt;"&amp;TODAY()+1)</f>
        <v>0</v>
      </c>
      <c r="H11" s="16" t="n">
        <f aca="true">SUMIFS(Sales!$H:$H, Sales!$C:$C,$B11, Sales!$E:$E,"&lt;&gt;Train", Sales!$B:$B,"&gt;="&amp;EOMONTH(TODAY(),-1)+1)</f>
        <v>20500</v>
      </c>
      <c r="I11" s="18" t="n">
        <f aca="true">COUNTIFS(Members!$F:$F,$B11, Members!$H:$H, "&lt;"&amp;TODAY(), Members!$L:$L,"Active")</f>
        <v>0</v>
      </c>
      <c r="J11" s="1"/>
    </row>
    <row r="12" customFormat="false" ht="25.5" hidden="false" customHeight="true" outlineLevel="0" collapsed="false">
      <c r="A12" s="1"/>
      <c r="B12" s="15" t="s">
        <v>16</v>
      </c>
      <c r="C12" s="16" t="n">
        <f aca="true">SUMIFS(Sales!$H:$H, Sales!$C:$C,$B12, Sales!$E:$E,"MEM",  Sales!$B:$B,"&gt;="&amp;TODAY(), Sales!$B:$B,"&lt;"&amp;TODAY()+1)</f>
        <v>0</v>
      </c>
      <c r="D12" s="16" t="n">
        <f aca="true">SUMIFS(Sales!$H:$H, Sales!$C:$C,$B12, Sales!$E:$E,"PT",   Sales!$B:$B,"&gt;="&amp;TODAY(), Sales!$B:$B,"&lt;"&amp;TODAY()+1)</f>
        <v>0</v>
      </c>
      <c r="E12" s="16" t="n">
        <f aca="true">SUMIFS(Sales!$H:$H, Sales!$C:$C,$B12, Sales!$E:$E,"Plan", Sales!$B:$B,"&gt;="&amp;TODAY(), Sales!$B:$B,"&lt;"&amp;TODAY()+1)</f>
        <v>0</v>
      </c>
      <c r="F12" s="17" t="n">
        <f aca="false">SUM(C12:E12)</f>
        <v>0</v>
      </c>
      <c r="G12" s="18" t="n">
        <f aca="true">COUNTIFS(Trainings!$C:$C,$B12, Trainings!$I:$I,"✓ Verified", Trainings!$B:$B,"&gt;="&amp;TODAY(), Trainings!$B:$B,"&lt;"&amp;TODAY()+1)</f>
        <v>0</v>
      </c>
      <c r="H12" s="16" t="n">
        <f aca="true">SUMIFS(Sales!$H:$H, Sales!$C:$C,$B12, Sales!$E:$E,"&lt;&gt;Train", Sales!$B:$B,"&gt;="&amp;EOMONTH(TODAY(),-1)+1)</f>
        <v>0</v>
      </c>
      <c r="I12" s="18" t="n">
        <f aca="true">COUNTIFS(Members!$F:$F,$B12, Members!$H:$H, "&lt;"&amp;TODAY(), Members!$L:$L,"Active")</f>
        <v>0</v>
      </c>
      <c r="J12" s="1"/>
    </row>
    <row r="13" customFormat="false" ht="25.5" hidden="false" customHeight="true" outlineLevel="0" collapsed="false">
      <c r="A13" s="1"/>
      <c r="B13" s="15" t="s">
        <v>17</v>
      </c>
      <c r="C13" s="16" t="n">
        <f aca="true">SUMIFS(Sales!$H:$H, Sales!$C:$C,$B13, Sales!$E:$E,"MEM",  Sales!$B:$B,"&gt;="&amp;TODAY(), Sales!$B:$B,"&lt;"&amp;TODAY()+1)</f>
        <v>0</v>
      </c>
      <c r="D13" s="16" t="n">
        <f aca="true">SUMIFS(Sales!$H:$H, Sales!$C:$C,$B13, Sales!$E:$E,"PT",   Sales!$B:$B,"&gt;="&amp;TODAY(), Sales!$B:$B,"&lt;"&amp;TODAY()+1)</f>
        <v>0</v>
      </c>
      <c r="E13" s="16" t="n">
        <f aca="true">SUMIFS(Sales!$H:$H, Sales!$C:$C,$B13, Sales!$E:$E,"Plan", Sales!$B:$B,"&gt;="&amp;TODAY(), Sales!$B:$B,"&lt;"&amp;TODAY()+1)</f>
        <v>0</v>
      </c>
      <c r="F13" s="17" t="n">
        <f aca="false">SUM(C13:E13)</f>
        <v>0</v>
      </c>
      <c r="G13" s="18" t="n">
        <f aca="true">COUNTIFS(Trainings!$C:$C,$B13, Trainings!$I:$I,"✓ Verified", Trainings!$B:$B,"&gt;="&amp;TODAY(), Trainings!$B:$B,"&lt;"&amp;TODAY()+1)</f>
        <v>0</v>
      </c>
      <c r="H13" s="16" t="n">
        <f aca="true">SUMIFS(Sales!$H:$H, Sales!$C:$C,$B13, Sales!$E:$E,"&lt;&gt;Train", Sales!$B:$B,"&gt;="&amp;EOMONTH(TODAY(),-1)+1)</f>
        <v>0</v>
      </c>
      <c r="I13" s="18" t="n">
        <f aca="true">COUNTIFS(Members!$F:$F,$B13, Members!$H:$H, "&lt;"&amp;TODAY(), Members!$L:$L,"Active")</f>
        <v>0</v>
      </c>
      <c r="J13" s="1"/>
    </row>
    <row r="14" customFormat="false" ht="27.75" hidden="false" customHeight="true" outlineLevel="0" collapsed="false">
      <c r="A14" s="1"/>
      <c r="B14" s="19" t="s">
        <v>18</v>
      </c>
      <c r="C14" s="20" t="n">
        <f aca="false">SUM(C11:C13)</f>
        <v>12000</v>
      </c>
      <c r="D14" s="20" t="n">
        <f aca="false">SUM(D11:D13)</f>
        <v>8000</v>
      </c>
      <c r="E14" s="20" t="n">
        <f aca="false">SUM(E11:E13)</f>
        <v>500</v>
      </c>
      <c r="F14" s="20" t="n">
        <f aca="false">SUM(F11:F13)</f>
        <v>20500</v>
      </c>
      <c r="G14" s="20" t="n">
        <f aca="false">SUM(G11:G13)</f>
        <v>0</v>
      </c>
      <c r="H14" s="20" t="n">
        <f aca="false">SUM(H11:H13)</f>
        <v>20500</v>
      </c>
      <c r="I14" s="20" t="n">
        <f aca="false">SUM(I11:I13)</f>
        <v>0</v>
      </c>
      <c r="J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customFormat="false" ht="24" hidden="false" customHeight="true" outlineLevel="0" collapsed="false">
      <c r="A16" s="1"/>
      <c r="B16" s="13" t="s">
        <v>19</v>
      </c>
      <c r="C16" s="13"/>
      <c r="D16" s="13"/>
      <c r="E16" s="13"/>
      <c r="F16" s="13"/>
      <c r="G16" s="13"/>
      <c r="H16" s="13"/>
      <c r="I16" s="13"/>
      <c r="J16" s="1"/>
    </row>
    <row r="17" customFormat="false" ht="21.75" hidden="false" customHeight="true" outlineLevel="0" collapsed="false">
      <c r="A17" s="1"/>
      <c r="B17" s="21" t="s">
        <v>20</v>
      </c>
      <c r="C17" s="21" t="s">
        <v>7</v>
      </c>
      <c r="D17" s="21" t="s">
        <v>21</v>
      </c>
      <c r="E17" s="21" t="s">
        <v>22</v>
      </c>
      <c r="F17" s="21" t="s">
        <v>23</v>
      </c>
      <c r="G17" s="21" t="s">
        <v>24</v>
      </c>
      <c r="H17" s="21" t="s">
        <v>25</v>
      </c>
      <c r="I17" s="21" t="s">
        <v>26</v>
      </c>
      <c r="J17" s="1"/>
    </row>
    <row r="18" customFormat="false" ht="21.75" hidden="false" customHeight="true" outlineLevel="0" collapsed="false">
      <c r="A18" s="1"/>
      <c r="B18" s="22" t="str">
        <f aca="false">IFERROR(INDEX(sales!b:sales!b, aggregate(14,6,ROW(Sales!$B$3:$B$1000)/(Sales!$B$3:$B$1000&lt;&gt;""), 5)),"")</f>
        <v/>
      </c>
      <c r="C18" s="23" t="str">
        <f aca="false">IFERROR(INDEX(sales!c:sales!c, aggregate(14,6,ROW(Sales!$B$3:$B$1000)/(Sales!$B$3:$B$1000&lt;&gt;""), 5)),"")</f>
        <v/>
      </c>
      <c r="D18" s="23" t="str">
        <f aca="false">IFERROR(INDEX(sales!e:sales!e, aggregate(14,6,ROW(Sales!$B$3:$B$1000)/(Sales!$B$3:$B$1000&lt;&gt;""), 5)),"")</f>
        <v/>
      </c>
      <c r="E18" s="23" t="str">
        <f aca="false">IFERROR(INDEX(sales!d:sales!d, aggregate(14,6,ROW(Sales!$B$3:$B$1000)/(Sales!$B$3:$B$1000&lt;&gt;""), 5)),"")</f>
        <v/>
      </c>
      <c r="F18" s="24" t="str">
        <f aca="false">IFERROR(INDEX(sales!g:sales!g, aggregate(14,6,ROW(Sales!$B$3:$B$1000)/(Sales!$B$3:$B$1000&lt;&gt;""), 5)),"")</f>
        <v/>
      </c>
      <c r="G18" s="25" t="str">
        <f aca="false">IFERROR(INDEX(sales!h:sales!h, aggregate(14,6,ROW(Sales!$B$3:$B$1000)/(Sales!$B$3:$B$1000&lt;&gt;""), 5)),"")</f>
        <v/>
      </c>
      <c r="H18" s="24" t="str">
        <f aca="false">IFERROR(INDEX(sales!i:sales!i, aggregate(14,6,ROW(Sales!$B$3:$B$1000)/(Sales!$B$3:$B$1000&lt;&gt;""), 5)),"")</f>
        <v/>
      </c>
      <c r="I18" s="23" t="str">
        <f aca="false">IFERROR(INDEX(sales!l:sales!l, aggregate(14,6,ROW(Sales!$B$3:$B$1000)/(Sales!$B$3:$B$1000&lt;&gt;""), 5)),"")</f>
        <v/>
      </c>
      <c r="J18" s="1"/>
    </row>
    <row r="19" customFormat="false" ht="21.75" hidden="false" customHeight="true" outlineLevel="0" collapsed="false">
      <c r="A19" s="1"/>
      <c r="B19" s="22" t="str">
        <f aca="false">IFERROR(INDEX(sales!b:sales!b, aggregate(14,6,ROW(Sales!$B$3:$B$1000)/(Sales!$B$3:$B$1000&lt;&gt;""), 4)),"")</f>
        <v/>
      </c>
      <c r="C19" s="23" t="str">
        <f aca="false">IFERROR(INDEX(sales!c:sales!c, aggregate(14,6,ROW(Sales!$B$3:$B$1000)/(Sales!$B$3:$B$1000&lt;&gt;""), 4)),"")</f>
        <v/>
      </c>
      <c r="D19" s="23" t="str">
        <f aca="false">IFERROR(INDEX(sales!e:sales!e, aggregate(14,6,ROW(Sales!$B$3:$B$1000)/(Sales!$B$3:$B$1000&lt;&gt;""), 4)),"")</f>
        <v/>
      </c>
      <c r="E19" s="23" t="str">
        <f aca="false">IFERROR(INDEX(sales!d:sales!d, aggregate(14,6,ROW(Sales!$B$3:$B$1000)/(Sales!$B$3:$B$1000&lt;&gt;""), 4)),"")</f>
        <v/>
      </c>
      <c r="F19" s="24" t="str">
        <f aca="false">IFERROR(INDEX(sales!g:sales!g, aggregate(14,6,ROW(Sales!$B$3:$B$1000)/(Sales!$B$3:$B$1000&lt;&gt;""), 4)),"")</f>
        <v/>
      </c>
      <c r="G19" s="25" t="str">
        <f aca="false">IFERROR(INDEX(sales!h:sales!h, aggregate(14,6,ROW(Sales!$B$3:$B$1000)/(Sales!$B$3:$B$1000&lt;&gt;""), 4)),"")</f>
        <v/>
      </c>
      <c r="H19" s="24" t="str">
        <f aca="false">IFERROR(INDEX(sales!i:sales!i, aggregate(14,6,ROW(Sales!$B$3:$B$1000)/(Sales!$B$3:$B$1000&lt;&gt;""), 4)),"")</f>
        <v/>
      </c>
      <c r="I19" s="23" t="str">
        <f aca="false">IFERROR(INDEX(sales!l:sales!l, aggregate(14,6,ROW(Sales!$B$3:$B$1000)/(Sales!$B$3:$B$1000&lt;&gt;""), 4)),"")</f>
        <v/>
      </c>
      <c r="J19" s="1"/>
    </row>
    <row r="20" customFormat="false" ht="21.75" hidden="false" customHeight="true" outlineLevel="0" collapsed="false">
      <c r="A20" s="1"/>
      <c r="B20" s="22" t="str">
        <f aca="false">IFERROR(INDEX(sales!b:sales!b, aggregate(14,6,ROW(Sales!$B$3:$B$1000)/(Sales!$B$3:$B$1000&lt;&gt;""), 3)),"")</f>
        <v/>
      </c>
      <c r="C20" s="23" t="str">
        <f aca="false">IFERROR(INDEX(sales!c:sales!c, aggregate(14,6,ROW(Sales!$B$3:$B$1000)/(Sales!$B$3:$B$1000&lt;&gt;""), 3)),"")</f>
        <v/>
      </c>
      <c r="D20" s="23" t="str">
        <f aca="false">IFERROR(INDEX(sales!e:sales!e, aggregate(14,6,ROW(Sales!$B$3:$B$1000)/(Sales!$B$3:$B$1000&lt;&gt;""), 3)),"")</f>
        <v/>
      </c>
      <c r="E20" s="23" t="str">
        <f aca="false">IFERROR(INDEX(sales!d:sales!d, aggregate(14,6,ROW(Sales!$B$3:$B$1000)/(Sales!$B$3:$B$1000&lt;&gt;""), 3)),"")</f>
        <v/>
      </c>
      <c r="F20" s="24" t="str">
        <f aca="false">IFERROR(INDEX(sales!g:sales!g, aggregate(14,6,ROW(Sales!$B$3:$B$1000)/(Sales!$B$3:$B$1000&lt;&gt;""), 3)),"")</f>
        <v/>
      </c>
      <c r="G20" s="25" t="str">
        <f aca="false">IFERROR(INDEX(sales!h:sales!h, aggregate(14,6,ROW(Sales!$B$3:$B$1000)/(Sales!$B$3:$B$1000&lt;&gt;""), 3)),"")</f>
        <v/>
      </c>
      <c r="H20" s="24" t="str">
        <f aca="false">IFERROR(INDEX(sales!i:sales!i, aggregate(14,6,ROW(Sales!$B$3:$B$1000)/(Sales!$B$3:$B$1000&lt;&gt;""), 3)),"")</f>
        <v/>
      </c>
      <c r="I20" s="23" t="str">
        <f aca="false">IFERROR(INDEX(sales!l:sales!l, aggregate(14,6,ROW(Sales!$B$3:$B$1000)/(Sales!$B$3:$B$1000&lt;&gt;""), 3)),"")</f>
        <v/>
      </c>
      <c r="J20" s="1"/>
    </row>
    <row r="21" customFormat="false" ht="21.75" hidden="false" customHeight="true" outlineLevel="0" collapsed="false">
      <c r="A21" s="1"/>
      <c r="B21" s="22" t="str">
        <f aca="false">IFERROR(INDEX(sales!b:sales!b, aggregate(14,6,ROW(Sales!$B$3:$B$1000)/(Sales!$B$3:$B$1000&lt;&gt;""), 2)),"")</f>
        <v/>
      </c>
      <c r="C21" s="23" t="str">
        <f aca="false">IFERROR(INDEX(sales!c:sales!c, aggregate(14,6,ROW(Sales!$B$3:$B$1000)/(Sales!$B$3:$B$1000&lt;&gt;""), 2)),"")</f>
        <v/>
      </c>
      <c r="D21" s="23" t="str">
        <f aca="false">IFERROR(INDEX(sales!e:sales!e, aggregate(14,6,ROW(Sales!$B$3:$B$1000)/(Sales!$B$3:$B$1000&lt;&gt;""), 2)),"")</f>
        <v/>
      </c>
      <c r="E21" s="23" t="str">
        <f aca="false">IFERROR(INDEX(sales!d:sales!d, aggregate(14,6,ROW(Sales!$B$3:$B$1000)/(Sales!$B$3:$B$1000&lt;&gt;""), 2)),"")</f>
        <v/>
      </c>
      <c r="F21" s="24" t="str">
        <f aca="false">IFERROR(INDEX(sales!g:sales!g, aggregate(14,6,ROW(Sales!$B$3:$B$1000)/(Sales!$B$3:$B$1000&lt;&gt;""), 2)),"")</f>
        <v/>
      </c>
      <c r="G21" s="25" t="str">
        <f aca="false">IFERROR(INDEX(sales!h:sales!h, aggregate(14,6,ROW(Sales!$B$3:$B$1000)/(Sales!$B$3:$B$1000&lt;&gt;""), 2)),"")</f>
        <v/>
      </c>
      <c r="H21" s="24" t="str">
        <f aca="false">IFERROR(INDEX(sales!i:sales!i, aggregate(14,6,ROW(Sales!$B$3:$B$1000)/(Sales!$B$3:$B$1000&lt;&gt;""), 2)),"")</f>
        <v/>
      </c>
      <c r="I21" s="23" t="str">
        <f aca="false">IFERROR(INDEX(sales!l:sales!l, aggregate(14,6,ROW(Sales!$B$3:$B$1000)/(Sales!$B$3:$B$1000&lt;&gt;""), 2)),"")</f>
        <v/>
      </c>
      <c r="J21" s="1"/>
    </row>
    <row r="22" customFormat="false" ht="21.75" hidden="false" customHeight="true" outlineLevel="0" collapsed="false">
      <c r="A22" s="1"/>
      <c r="B22" s="22" t="str">
        <f aca="false">IFERROR(INDEX(sales!b:sales!b, aggregate(14,6,ROW(Sales!$B$3:$B$1000)/(Sales!$B$3:$B$1000&lt;&gt;""), 1)),"")</f>
        <v/>
      </c>
      <c r="C22" s="23" t="str">
        <f aca="false">IFERROR(INDEX(sales!c:sales!c, aggregate(14,6,ROW(Sales!$B$3:$B$1000)/(Sales!$B$3:$B$1000&lt;&gt;""), 1)),"")</f>
        <v/>
      </c>
      <c r="D22" s="23" t="str">
        <f aca="false">IFERROR(INDEX(sales!e:sales!e, aggregate(14,6,ROW(Sales!$B$3:$B$1000)/(Sales!$B$3:$B$1000&lt;&gt;""), 1)),"")</f>
        <v/>
      </c>
      <c r="E22" s="23" t="str">
        <f aca="false">IFERROR(INDEX(sales!d:sales!d, aggregate(14,6,ROW(Sales!$B$3:$B$1000)/(Sales!$B$3:$B$1000&lt;&gt;""), 1)),"")</f>
        <v/>
      </c>
      <c r="F22" s="24" t="str">
        <f aca="false">IFERROR(INDEX(sales!g:sales!g, aggregate(14,6,ROW(Sales!$B$3:$B$1000)/(Sales!$B$3:$B$1000&lt;&gt;""), 1)),"")</f>
        <v/>
      </c>
      <c r="G22" s="25" t="str">
        <f aca="false">IFERROR(INDEX(sales!h:sales!h, aggregate(14,6,ROW(Sales!$B$3:$B$1000)/(Sales!$B$3:$B$1000&lt;&gt;""), 1)),"")</f>
        <v/>
      </c>
      <c r="H22" s="24" t="str">
        <f aca="false">IFERROR(INDEX(sales!i:sales!i, aggregate(14,6,ROW(Sales!$B$3:$B$1000)/(Sales!$B$3:$B$1000&lt;&gt;""), 1)),"")</f>
        <v/>
      </c>
      <c r="I22" s="23" t="str">
        <f aca="false">IFERROR(INDEX(sales!l:sales!l, aggregate(14,6,ROW(Sales!$B$3:$B$1000)/(Sales!$B$3:$B$1000&lt;&gt;""), 1)),"")</f>
        <v/>
      </c>
      <c r="J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false" outlineLevel="0" collapsed="false">
      <c r="A24" s="1"/>
      <c r="B24" s="26" t="s">
        <v>27</v>
      </c>
      <c r="C24" s="26"/>
      <c r="D24" s="26"/>
      <c r="E24" s="26"/>
      <c r="F24" s="26"/>
      <c r="G24" s="26"/>
      <c r="H24" s="26"/>
      <c r="I24" s="26"/>
      <c r="J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mergeCells count="14">
    <mergeCell ref="B2:E2"/>
    <mergeCell ref="F2:I2"/>
    <mergeCell ref="B3:I3"/>
    <mergeCell ref="B5:C5"/>
    <mergeCell ref="D5:E5"/>
    <mergeCell ref="F5:G5"/>
    <mergeCell ref="H5:I5"/>
    <mergeCell ref="B6:C6"/>
    <mergeCell ref="D6:E6"/>
    <mergeCell ref="F6:G6"/>
    <mergeCell ref="H6:I6"/>
    <mergeCell ref="B9:I9"/>
    <mergeCell ref="B16:I16"/>
    <mergeCell ref="B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8"/>
    <col collapsed="false" customWidth="true" hidden="false" outlineLevel="0" max="10" min="6" style="0" width="14"/>
    <col collapsed="false" customWidth="true" hidden="false" outlineLevel="0" max="11" min="11" style="0" width="16"/>
    <col collapsed="false" customWidth="true" hidden="false" outlineLevel="0" max="12" min="12" style="0" width="22"/>
    <col collapsed="false" customWidth="true" hidden="false" outlineLevel="0" max="13" min="13" style="0" width="12"/>
    <col collapsed="false" customWidth="true" hidden="false" outlineLevel="0" max="14" min="14" style="0" width="2"/>
  </cols>
  <sheetData>
    <row r="1" customFormat="false" ht="30" hidden="false" customHeight="true" outlineLevel="0" collapsed="false">
      <c r="B1" s="27" t="s">
        <v>28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customFormat="false" ht="36" hidden="false" customHeight="true" outlineLevel="0" collapsed="false">
      <c r="B2" s="28" t="s">
        <v>29</v>
      </c>
      <c r="C2" s="28" t="s">
        <v>30</v>
      </c>
      <c r="D2" s="28" t="s">
        <v>31</v>
      </c>
      <c r="E2" s="28" t="s">
        <v>32</v>
      </c>
      <c r="F2" s="28" t="s">
        <v>7</v>
      </c>
      <c r="G2" s="28" t="s">
        <v>33</v>
      </c>
      <c r="H2" s="28" t="s">
        <v>34</v>
      </c>
      <c r="I2" s="28" t="s">
        <v>35</v>
      </c>
      <c r="J2" s="28" t="s">
        <v>36</v>
      </c>
      <c r="K2" s="28" t="s">
        <v>37</v>
      </c>
      <c r="L2" s="28" t="s">
        <v>38</v>
      </c>
      <c r="M2" s="28" t="s">
        <v>39</v>
      </c>
    </row>
    <row r="3" customFormat="false" ht="21.75" hidden="false" customHeight="true" outlineLevel="0" collapsed="false">
      <c r="B3" s="29" t="s">
        <v>40</v>
      </c>
      <c r="C3" s="30" t="s">
        <v>41</v>
      </c>
      <c r="D3" s="30" t="s">
        <v>42</v>
      </c>
      <c r="E3" s="29" t="n">
        <v>28</v>
      </c>
      <c r="F3" s="29" t="s">
        <v>15</v>
      </c>
      <c r="G3" s="31" t="n">
        <v>45965</v>
      </c>
      <c r="H3" s="31" t="n">
        <v>46165</v>
      </c>
      <c r="I3" s="32" t="n">
        <f aca="true">IFERROR(MAX(0,$H3-TODAY()),0)</f>
        <v>20</v>
      </c>
      <c r="J3" s="29" t="n">
        <v>8</v>
      </c>
      <c r="K3" s="30" t="s">
        <v>43</v>
      </c>
      <c r="L3" s="29" t="s">
        <v>44</v>
      </c>
      <c r="M3" s="29" t="s">
        <v>45</v>
      </c>
    </row>
    <row r="4" customFormat="false" ht="21.75" hidden="false" customHeight="true" outlineLevel="0" collapsed="false">
      <c r="B4" s="29" t="s">
        <v>46</v>
      </c>
      <c r="C4" s="30" t="s">
        <v>47</v>
      </c>
      <c r="D4" s="30" t="s">
        <v>48</v>
      </c>
      <c r="E4" s="29" t="n">
        <v>34</v>
      </c>
      <c r="F4" s="29" t="s">
        <v>15</v>
      </c>
      <c r="G4" s="31" t="n">
        <v>46055</v>
      </c>
      <c r="H4" s="31" t="n">
        <v>46155</v>
      </c>
      <c r="I4" s="32" t="n">
        <f aca="true">IFERROR(MAX(0,$H4-TODAY()),0)</f>
        <v>10</v>
      </c>
      <c r="J4" s="29" t="n">
        <v>2</v>
      </c>
      <c r="K4" s="30" t="s">
        <v>49</v>
      </c>
      <c r="L4" s="29" t="s">
        <v>50</v>
      </c>
      <c r="M4" s="29" t="s">
        <v>45</v>
      </c>
    </row>
    <row r="5" customFormat="false" ht="21.75" hidden="false" customHeight="true" outlineLevel="0" collapsed="false">
      <c r="B5" s="29" t="s">
        <v>51</v>
      </c>
      <c r="C5" s="30" t="s">
        <v>52</v>
      </c>
      <c r="D5" s="30" t="s">
        <v>53</v>
      </c>
      <c r="E5" s="29" t="n">
        <v>22</v>
      </c>
      <c r="F5" s="29" t="s">
        <v>15</v>
      </c>
      <c r="G5" s="31" t="n">
        <v>46115</v>
      </c>
      <c r="H5" s="31" t="n">
        <v>46480</v>
      </c>
      <c r="I5" s="32" t="n">
        <f aca="true">IFERROR(MAX(0,$H5-TODAY()),0)</f>
        <v>335</v>
      </c>
      <c r="J5" s="29" t="n">
        <v>0</v>
      </c>
      <c r="K5" s="30"/>
      <c r="L5" s="29"/>
      <c r="M5" s="29" t="s">
        <v>45</v>
      </c>
    </row>
    <row r="6" customFormat="false" ht="21.75" hidden="false" customHeight="true" outlineLevel="0" collapsed="false">
      <c r="B6" s="29" t="s">
        <v>54</v>
      </c>
      <c r="C6" s="30" t="s">
        <v>55</v>
      </c>
      <c r="D6" s="30" t="s">
        <v>56</v>
      </c>
      <c r="E6" s="29" t="n">
        <v>45</v>
      </c>
      <c r="F6" s="29" t="s">
        <v>16</v>
      </c>
      <c r="G6" s="31" t="n">
        <v>45785</v>
      </c>
      <c r="H6" s="31" t="n">
        <v>46150</v>
      </c>
      <c r="I6" s="32" t="n">
        <f aca="true">IFERROR(MAX(0,$H6-TODAY()),0)</f>
        <v>5</v>
      </c>
      <c r="J6" s="29" t="n">
        <v>1</v>
      </c>
      <c r="K6" s="30" t="s">
        <v>43</v>
      </c>
      <c r="L6" s="29" t="s">
        <v>57</v>
      </c>
      <c r="M6" s="29" t="s">
        <v>45</v>
      </c>
    </row>
    <row r="7" customFormat="false" ht="21.75" hidden="false" customHeight="true" outlineLevel="0" collapsed="false">
      <c r="B7" s="29" t="s">
        <v>58</v>
      </c>
      <c r="C7" s="30" t="s">
        <v>59</v>
      </c>
      <c r="D7" s="30" t="s">
        <v>60</v>
      </c>
      <c r="E7" s="29" t="n">
        <v>31</v>
      </c>
      <c r="F7" s="29" t="s">
        <v>16</v>
      </c>
      <c r="G7" s="31" t="n">
        <v>46085</v>
      </c>
      <c r="H7" s="31" t="n">
        <v>46450</v>
      </c>
      <c r="I7" s="32" t="n">
        <f aca="true">IFERROR(MAX(0,$H7-TODAY()),0)</f>
        <v>305</v>
      </c>
      <c r="J7" s="29" t="n">
        <v>12</v>
      </c>
      <c r="K7" s="30" t="s">
        <v>49</v>
      </c>
      <c r="L7" s="29"/>
      <c r="M7" s="29" t="s">
        <v>45</v>
      </c>
    </row>
    <row r="8" customFormat="false" ht="15" hidden="false" customHeight="false" outlineLevel="0" collapsed="false">
      <c r="B8" s="29"/>
      <c r="C8" s="30"/>
      <c r="D8" s="30"/>
      <c r="E8" s="29"/>
      <c r="F8" s="29"/>
      <c r="G8" s="31"/>
      <c r="H8" s="31"/>
      <c r="I8" s="32" t="str">
        <f aca="true">IF($H8="","",MAX(0,$H8-TODAY()))</f>
        <v/>
      </c>
      <c r="J8" s="29"/>
      <c r="K8" s="30"/>
      <c r="L8" s="29"/>
      <c r="M8" s="29"/>
    </row>
    <row r="9" customFormat="false" ht="15" hidden="false" customHeight="false" outlineLevel="0" collapsed="false">
      <c r="B9" s="29"/>
      <c r="C9" s="30"/>
      <c r="D9" s="30"/>
      <c r="E9" s="29"/>
      <c r="F9" s="29"/>
      <c r="G9" s="31"/>
      <c r="H9" s="31"/>
      <c r="I9" s="32" t="str">
        <f aca="true">IF($H9="","",MAX(0,$H9-TODAY()))</f>
        <v/>
      </c>
      <c r="J9" s="29"/>
      <c r="K9" s="30"/>
      <c r="L9" s="29"/>
      <c r="M9" s="29"/>
    </row>
    <row r="10" customFormat="false" ht="15" hidden="false" customHeight="false" outlineLevel="0" collapsed="false">
      <c r="B10" s="29"/>
      <c r="C10" s="30"/>
      <c r="D10" s="30"/>
      <c r="E10" s="29"/>
      <c r="F10" s="29"/>
      <c r="G10" s="31"/>
      <c r="H10" s="31"/>
      <c r="I10" s="32" t="str">
        <f aca="true">IF($H10="","",MAX(0,$H10-TODAY()))</f>
        <v/>
      </c>
      <c r="J10" s="29"/>
      <c r="K10" s="30"/>
      <c r="L10" s="29"/>
      <c r="M10" s="29"/>
    </row>
    <row r="11" customFormat="false" ht="15" hidden="false" customHeight="false" outlineLevel="0" collapsed="false">
      <c r="B11" s="29"/>
      <c r="C11" s="30"/>
      <c r="D11" s="30"/>
      <c r="E11" s="29"/>
      <c r="F11" s="29"/>
      <c r="G11" s="31"/>
      <c r="H11" s="31"/>
      <c r="I11" s="32" t="str">
        <f aca="true">IF($H11="","",MAX(0,$H11-TODAY()))</f>
        <v/>
      </c>
      <c r="J11" s="29"/>
      <c r="K11" s="30"/>
      <c r="L11" s="29"/>
      <c r="M11" s="29"/>
    </row>
    <row r="12" customFormat="false" ht="15" hidden="false" customHeight="false" outlineLevel="0" collapsed="false">
      <c r="B12" s="29"/>
      <c r="C12" s="30"/>
      <c r="D12" s="30"/>
      <c r="E12" s="29"/>
      <c r="F12" s="29"/>
      <c r="G12" s="31"/>
      <c r="H12" s="31"/>
      <c r="I12" s="32" t="str">
        <f aca="true">IF($H12="","",MAX(0,$H12-TODAY()))</f>
        <v/>
      </c>
      <c r="J12" s="29"/>
      <c r="K12" s="30"/>
      <c r="L12" s="29"/>
      <c r="M12" s="29"/>
    </row>
    <row r="13" customFormat="false" ht="15" hidden="false" customHeight="false" outlineLevel="0" collapsed="false">
      <c r="B13" s="29"/>
      <c r="C13" s="30"/>
      <c r="D13" s="30"/>
      <c r="E13" s="29"/>
      <c r="F13" s="29"/>
      <c r="G13" s="31"/>
      <c r="H13" s="31"/>
      <c r="I13" s="32" t="str">
        <f aca="true">IF($H13="","",MAX(0,$H13-TODAY()))</f>
        <v/>
      </c>
      <c r="J13" s="29"/>
      <c r="K13" s="30"/>
      <c r="L13" s="29"/>
      <c r="M13" s="29"/>
    </row>
    <row r="14" customFormat="false" ht="15" hidden="false" customHeight="false" outlineLevel="0" collapsed="false">
      <c r="B14" s="29"/>
      <c r="C14" s="30"/>
      <c r="D14" s="30"/>
      <c r="E14" s="29"/>
      <c r="F14" s="29"/>
      <c r="G14" s="31"/>
      <c r="H14" s="31"/>
      <c r="I14" s="32" t="str">
        <f aca="true">IF($H14="","",MAX(0,$H14-TODAY()))</f>
        <v/>
      </c>
      <c r="J14" s="29"/>
      <c r="K14" s="30"/>
      <c r="L14" s="29"/>
      <c r="M14" s="29"/>
    </row>
    <row r="15" customFormat="false" ht="15" hidden="false" customHeight="false" outlineLevel="0" collapsed="false">
      <c r="B15" s="29"/>
      <c r="C15" s="30"/>
      <c r="D15" s="30"/>
      <c r="E15" s="29"/>
      <c r="F15" s="29"/>
      <c r="G15" s="31"/>
      <c r="H15" s="31"/>
      <c r="I15" s="32" t="str">
        <f aca="true">IF($H15="","",MAX(0,$H15-TODAY()))</f>
        <v/>
      </c>
      <c r="J15" s="29"/>
      <c r="K15" s="30"/>
      <c r="L15" s="29"/>
      <c r="M15" s="29"/>
    </row>
    <row r="16" customFormat="false" ht="15" hidden="false" customHeight="false" outlineLevel="0" collapsed="false">
      <c r="B16" s="29"/>
      <c r="C16" s="30"/>
      <c r="D16" s="30"/>
      <c r="E16" s="29"/>
      <c r="F16" s="29"/>
      <c r="G16" s="31"/>
      <c r="H16" s="31"/>
      <c r="I16" s="32" t="str">
        <f aca="true">IF($H16="","",MAX(0,$H16-TODAY()))</f>
        <v/>
      </c>
      <c r="J16" s="29"/>
      <c r="K16" s="30"/>
      <c r="L16" s="29"/>
      <c r="M16" s="29"/>
    </row>
    <row r="17" customFormat="false" ht="15" hidden="false" customHeight="false" outlineLevel="0" collapsed="false">
      <c r="B17" s="29"/>
      <c r="C17" s="30"/>
      <c r="D17" s="30"/>
      <c r="E17" s="29"/>
      <c r="F17" s="29"/>
      <c r="G17" s="31"/>
      <c r="H17" s="31"/>
      <c r="I17" s="32" t="str">
        <f aca="true">IF($H17="","",MAX(0,$H17-TODAY()))</f>
        <v/>
      </c>
      <c r="J17" s="29"/>
      <c r="K17" s="30"/>
      <c r="L17" s="29"/>
      <c r="M17" s="29"/>
    </row>
    <row r="18" customFormat="false" ht="15" hidden="false" customHeight="false" outlineLevel="0" collapsed="false">
      <c r="B18" s="29"/>
      <c r="C18" s="30"/>
      <c r="D18" s="30"/>
      <c r="E18" s="29"/>
      <c r="F18" s="29"/>
      <c r="G18" s="31"/>
      <c r="H18" s="31"/>
      <c r="I18" s="32" t="str">
        <f aca="true">IF($H18="","",MAX(0,$H18-TODAY()))</f>
        <v/>
      </c>
      <c r="J18" s="29"/>
      <c r="K18" s="30"/>
      <c r="L18" s="29"/>
      <c r="M18" s="29"/>
    </row>
    <row r="19" customFormat="false" ht="15" hidden="false" customHeight="false" outlineLevel="0" collapsed="false">
      <c r="B19" s="29"/>
      <c r="C19" s="30"/>
      <c r="D19" s="30"/>
      <c r="E19" s="29"/>
      <c r="F19" s="29"/>
      <c r="G19" s="31"/>
      <c r="H19" s="31"/>
      <c r="I19" s="32" t="str">
        <f aca="true">IF($H19="","",MAX(0,$H19-TODAY()))</f>
        <v/>
      </c>
      <c r="J19" s="29"/>
      <c r="K19" s="30"/>
      <c r="L19" s="29"/>
      <c r="M19" s="29"/>
    </row>
    <row r="20" customFormat="false" ht="15" hidden="false" customHeight="false" outlineLevel="0" collapsed="false">
      <c r="B20" s="29"/>
      <c r="C20" s="30"/>
      <c r="D20" s="30"/>
      <c r="E20" s="29"/>
      <c r="F20" s="29"/>
      <c r="G20" s="31"/>
      <c r="H20" s="31"/>
      <c r="I20" s="32" t="str">
        <f aca="true">IF($H20="","",MAX(0,$H20-TODAY()))</f>
        <v/>
      </c>
      <c r="J20" s="29"/>
      <c r="K20" s="30"/>
      <c r="L20" s="29"/>
      <c r="M20" s="29"/>
    </row>
    <row r="21" customFormat="false" ht="15" hidden="false" customHeight="false" outlineLevel="0" collapsed="false">
      <c r="B21" s="29"/>
      <c r="C21" s="30"/>
      <c r="D21" s="30"/>
      <c r="E21" s="29"/>
      <c r="F21" s="29"/>
      <c r="G21" s="31"/>
      <c r="H21" s="31"/>
      <c r="I21" s="32" t="str">
        <f aca="true">IF($H21="","",MAX(0,$H21-TODAY()))</f>
        <v/>
      </c>
      <c r="J21" s="29"/>
      <c r="K21" s="30"/>
      <c r="L21" s="29"/>
      <c r="M21" s="29"/>
    </row>
    <row r="22" customFormat="false" ht="15" hidden="false" customHeight="false" outlineLevel="0" collapsed="false">
      <c r="B22" s="29"/>
      <c r="C22" s="30"/>
      <c r="D22" s="30"/>
      <c r="E22" s="29"/>
      <c r="F22" s="29"/>
      <c r="G22" s="31"/>
      <c r="H22" s="31"/>
      <c r="I22" s="32" t="str">
        <f aca="true">IF($H22="","",MAX(0,$H22-TODAY()))</f>
        <v/>
      </c>
      <c r="J22" s="29"/>
      <c r="K22" s="30"/>
      <c r="L22" s="29"/>
      <c r="M22" s="29"/>
    </row>
    <row r="23" customFormat="false" ht="15" hidden="false" customHeight="false" outlineLevel="0" collapsed="false">
      <c r="B23" s="29"/>
      <c r="C23" s="30"/>
      <c r="D23" s="30"/>
      <c r="E23" s="29"/>
      <c r="F23" s="29"/>
      <c r="G23" s="31"/>
      <c r="H23" s="31"/>
      <c r="I23" s="32" t="str">
        <f aca="true">IF($H23="","",MAX(0,$H23-TODAY()))</f>
        <v/>
      </c>
      <c r="J23" s="29"/>
      <c r="K23" s="30"/>
      <c r="L23" s="29"/>
      <c r="M23" s="29"/>
    </row>
    <row r="24" customFormat="false" ht="15" hidden="false" customHeight="false" outlineLevel="0" collapsed="false">
      <c r="B24" s="29"/>
      <c r="C24" s="30"/>
      <c r="D24" s="30"/>
      <c r="E24" s="29"/>
      <c r="F24" s="29"/>
      <c r="G24" s="31"/>
      <c r="H24" s="31"/>
      <c r="I24" s="32" t="str">
        <f aca="true">IF($H24="","",MAX(0,$H24-TODAY()))</f>
        <v/>
      </c>
      <c r="J24" s="29"/>
      <c r="K24" s="30"/>
      <c r="L24" s="29"/>
      <c r="M24" s="29"/>
    </row>
    <row r="25" customFormat="false" ht="15" hidden="false" customHeight="false" outlineLevel="0" collapsed="false">
      <c r="B25" s="29"/>
      <c r="C25" s="30"/>
      <c r="D25" s="30"/>
      <c r="E25" s="29"/>
      <c r="F25" s="29"/>
      <c r="G25" s="31"/>
      <c r="H25" s="31"/>
      <c r="I25" s="32" t="str">
        <f aca="true">IF($H25="","",MAX(0,$H25-TODAY()))</f>
        <v/>
      </c>
      <c r="J25" s="29"/>
      <c r="K25" s="30"/>
      <c r="L25" s="29"/>
      <c r="M25" s="29"/>
    </row>
    <row r="26" customFormat="false" ht="15" hidden="false" customHeight="false" outlineLevel="0" collapsed="false">
      <c r="B26" s="29"/>
      <c r="C26" s="30"/>
      <c r="D26" s="30"/>
      <c r="E26" s="29"/>
      <c r="F26" s="29"/>
      <c r="G26" s="31"/>
      <c r="H26" s="31"/>
      <c r="I26" s="32" t="str">
        <f aca="true">IF($H26="","",MAX(0,$H26-TODAY()))</f>
        <v/>
      </c>
      <c r="J26" s="29"/>
      <c r="K26" s="30"/>
      <c r="L26" s="29"/>
      <c r="M26" s="29"/>
    </row>
    <row r="27" customFormat="false" ht="15" hidden="false" customHeight="false" outlineLevel="0" collapsed="false">
      <c r="B27" s="29"/>
      <c r="C27" s="30"/>
      <c r="D27" s="30"/>
      <c r="E27" s="29"/>
      <c r="F27" s="29"/>
      <c r="G27" s="31"/>
      <c r="H27" s="31"/>
      <c r="I27" s="32" t="str">
        <f aca="true">IF($H27="","",MAX(0,$H27-TODAY()))</f>
        <v/>
      </c>
      <c r="J27" s="29"/>
      <c r="K27" s="30"/>
      <c r="L27" s="29"/>
      <c r="M27" s="29"/>
    </row>
    <row r="28" customFormat="false" ht="15" hidden="false" customHeight="false" outlineLevel="0" collapsed="false">
      <c r="B28" s="29"/>
      <c r="C28" s="30"/>
      <c r="D28" s="30"/>
      <c r="E28" s="29"/>
      <c r="F28" s="29"/>
      <c r="G28" s="31"/>
      <c r="H28" s="31"/>
      <c r="I28" s="32" t="str">
        <f aca="true">IF($H28="","",MAX(0,$H28-TODAY()))</f>
        <v/>
      </c>
      <c r="J28" s="29"/>
      <c r="K28" s="30"/>
      <c r="L28" s="29"/>
      <c r="M28" s="29"/>
    </row>
    <row r="29" customFormat="false" ht="15" hidden="false" customHeight="false" outlineLevel="0" collapsed="false">
      <c r="B29" s="29"/>
      <c r="C29" s="30"/>
      <c r="D29" s="30"/>
      <c r="E29" s="29"/>
      <c r="F29" s="29"/>
      <c r="G29" s="31"/>
      <c r="H29" s="31"/>
      <c r="I29" s="32" t="str">
        <f aca="true">IF($H29="","",MAX(0,$H29-TODAY()))</f>
        <v/>
      </c>
      <c r="J29" s="29"/>
      <c r="K29" s="30"/>
      <c r="L29" s="29"/>
      <c r="M29" s="29"/>
    </row>
    <row r="30" customFormat="false" ht="15" hidden="false" customHeight="false" outlineLevel="0" collapsed="false">
      <c r="B30" s="29"/>
      <c r="C30" s="30"/>
      <c r="D30" s="30"/>
      <c r="E30" s="29"/>
      <c r="F30" s="29"/>
      <c r="G30" s="31"/>
      <c r="H30" s="31"/>
      <c r="I30" s="32" t="str">
        <f aca="true">IF($H30="","",MAX(0,$H30-TODAY()))</f>
        <v/>
      </c>
      <c r="J30" s="29"/>
      <c r="K30" s="30"/>
      <c r="L30" s="29"/>
      <c r="M30" s="29"/>
    </row>
    <row r="31" customFormat="false" ht="15" hidden="false" customHeight="false" outlineLevel="0" collapsed="false">
      <c r="B31" s="29"/>
      <c r="C31" s="30"/>
      <c r="D31" s="30"/>
      <c r="E31" s="29"/>
      <c r="F31" s="29"/>
      <c r="G31" s="31"/>
      <c r="H31" s="31"/>
      <c r="I31" s="32" t="str">
        <f aca="true">IF($H31="","",MAX(0,$H31-TODAY()))</f>
        <v/>
      </c>
      <c r="J31" s="29"/>
      <c r="K31" s="30"/>
      <c r="L31" s="29"/>
      <c r="M31" s="29"/>
    </row>
    <row r="32" customFormat="false" ht="15" hidden="false" customHeight="false" outlineLevel="0" collapsed="false">
      <c r="B32" s="29"/>
      <c r="C32" s="30"/>
      <c r="D32" s="30"/>
      <c r="E32" s="29"/>
      <c r="F32" s="29"/>
      <c r="G32" s="31"/>
      <c r="H32" s="31"/>
      <c r="I32" s="32" t="str">
        <f aca="true">IF($H32="","",MAX(0,$H32-TODAY()))</f>
        <v/>
      </c>
      <c r="J32" s="29"/>
      <c r="K32" s="30"/>
      <c r="L32" s="29"/>
      <c r="M32" s="29"/>
    </row>
    <row r="33" customFormat="false" ht="15" hidden="false" customHeight="false" outlineLevel="0" collapsed="false">
      <c r="B33" s="29"/>
      <c r="C33" s="30"/>
      <c r="D33" s="30"/>
      <c r="E33" s="29"/>
      <c r="F33" s="29"/>
      <c r="G33" s="31"/>
      <c r="H33" s="31"/>
      <c r="I33" s="32" t="str">
        <f aca="true">IF($H33="","",MAX(0,$H33-TODAY()))</f>
        <v/>
      </c>
      <c r="J33" s="29"/>
      <c r="K33" s="30"/>
      <c r="L33" s="29"/>
      <c r="M33" s="29"/>
    </row>
    <row r="34" customFormat="false" ht="15" hidden="false" customHeight="false" outlineLevel="0" collapsed="false">
      <c r="B34" s="29"/>
      <c r="C34" s="30"/>
      <c r="D34" s="30"/>
      <c r="E34" s="29"/>
      <c r="F34" s="29"/>
      <c r="G34" s="31"/>
      <c r="H34" s="31"/>
      <c r="I34" s="32" t="str">
        <f aca="true">IF($H34="","",MAX(0,$H34-TODAY()))</f>
        <v/>
      </c>
      <c r="J34" s="29"/>
      <c r="K34" s="30"/>
      <c r="L34" s="29"/>
      <c r="M34" s="29"/>
    </row>
    <row r="35" customFormat="false" ht="15" hidden="false" customHeight="false" outlineLevel="0" collapsed="false">
      <c r="B35" s="29"/>
      <c r="C35" s="30"/>
      <c r="D35" s="30"/>
      <c r="E35" s="29"/>
      <c r="F35" s="29"/>
      <c r="G35" s="31"/>
      <c r="H35" s="31"/>
      <c r="I35" s="32" t="str">
        <f aca="true">IF($H35="","",MAX(0,$H35-TODAY()))</f>
        <v/>
      </c>
      <c r="J35" s="29"/>
      <c r="K35" s="30"/>
      <c r="L35" s="29"/>
      <c r="M35" s="29"/>
    </row>
    <row r="36" customFormat="false" ht="15" hidden="false" customHeight="false" outlineLevel="0" collapsed="false">
      <c r="B36" s="29"/>
      <c r="C36" s="30"/>
      <c r="D36" s="30"/>
      <c r="E36" s="29"/>
      <c r="F36" s="29"/>
      <c r="G36" s="31"/>
      <c r="H36" s="31"/>
      <c r="I36" s="32" t="str">
        <f aca="true">IF($H36="","",MAX(0,$H36-TODAY()))</f>
        <v/>
      </c>
      <c r="J36" s="29"/>
      <c r="K36" s="30"/>
      <c r="L36" s="29"/>
      <c r="M36" s="29"/>
    </row>
    <row r="37" customFormat="false" ht="15" hidden="false" customHeight="false" outlineLevel="0" collapsed="false">
      <c r="B37" s="29"/>
      <c r="C37" s="30"/>
      <c r="D37" s="30"/>
      <c r="E37" s="29"/>
      <c r="F37" s="29"/>
      <c r="G37" s="31"/>
      <c r="H37" s="31"/>
      <c r="I37" s="32" t="str">
        <f aca="true">IF($H37="","",MAX(0,$H37-TODAY()))</f>
        <v/>
      </c>
      <c r="J37" s="29"/>
      <c r="K37" s="30"/>
      <c r="L37" s="29"/>
      <c r="M37" s="29"/>
    </row>
    <row r="38" customFormat="false" ht="15" hidden="false" customHeight="false" outlineLevel="0" collapsed="false">
      <c r="B38" s="29"/>
      <c r="C38" s="30"/>
      <c r="D38" s="30"/>
      <c r="E38" s="29"/>
      <c r="F38" s="29"/>
      <c r="G38" s="31"/>
      <c r="H38" s="31"/>
      <c r="I38" s="32" t="str">
        <f aca="true">IF($H38="","",MAX(0,$H38-TODAY()))</f>
        <v/>
      </c>
      <c r="J38" s="29"/>
      <c r="K38" s="30"/>
      <c r="L38" s="29"/>
      <c r="M38" s="29"/>
    </row>
    <row r="39" customFormat="false" ht="15" hidden="false" customHeight="false" outlineLevel="0" collapsed="false">
      <c r="B39" s="29"/>
      <c r="C39" s="30"/>
      <c r="D39" s="30"/>
      <c r="E39" s="29"/>
      <c r="F39" s="29"/>
      <c r="G39" s="31"/>
      <c r="H39" s="31"/>
      <c r="I39" s="32" t="str">
        <f aca="true">IF($H39="","",MAX(0,$H39-TODAY()))</f>
        <v/>
      </c>
      <c r="J39" s="29"/>
      <c r="K39" s="30"/>
      <c r="L39" s="29"/>
      <c r="M39" s="29"/>
    </row>
    <row r="40" customFormat="false" ht="15" hidden="false" customHeight="false" outlineLevel="0" collapsed="false">
      <c r="B40" s="29"/>
      <c r="C40" s="30"/>
      <c r="D40" s="30"/>
      <c r="E40" s="29"/>
      <c r="F40" s="29"/>
      <c r="G40" s="31"/>
      <c r="H40" s="31"/>
      <c r="I40" s="32" t="str">
        <f aca="true">IF($H40="","",MAX(0,$H40-TODAY()))</f>
        <v/>
      </c>
      <c r="J40" s="29"/>
      <c r="K40" s="30"/>
      <c r="L40" s="29"/>
      <c r="M40" s="29"/>
    </row>
    <row r="41" customFormat="false" ht="15" hidden="false" customHeight="false" outlineLevel="0" collapsed="false">
      <c r="B41" s="29"/>
      <c r="C41" s="30"/>
      <c r="D41" s="30"/>
      <c r="E41" s="29"/>
      <c r="F41" s="29"/>
      <c r="G41" s="31"/>
      <c r="H41" s="31"/>
      <c r="I41" s="32" t="str">
        <f aca="true">IF($H41="","",MAX(0,$H41-TODAY()))</f>
        <v/>
      </c>
      <c r="J41" s="29"/>
      <c r="K41" s="30"/>
      <c r="L41" s="29"/>
      <c r="M41" s="29"/>
    </row>
    <row r="42" customFormat="false" ht="15" hidden="false" customHeight="false" outlineLevel="0" collapsed="false">
      <c r="B42" s="29"/>
      <c r="C42" s="30"/>
      <c r="D42" s="30"/>
      <c r="E42" s="29"/>
      <c r="F42" s="29"/>
      <c r="G42" s="31"/>
      <c r="H42" s="31"/>
      <c r="I42" s="32" t="str">
        <f aca="true">IF($H42="","",MAX(0,$H42-TODAY()))</f>
        <v/>
      </c>
      <c r="J42" s="29"/>
      <c r="K42" s="30"/>
      <c r="L42" s="29"/>
      <c r="M42" s="29"/>
    </row>
    <row r="43" customFormat="false" ht="15" hidden="false" customHeight="false" outlineLevel="0" collapsed="false">
      <c r="B43" s="29"/>
      <c r="C43" s="30"/>
      <c r="D43" s="30"/>
      <c r="E43" s="29"/>
      <c r="F43" s="29"/>
      <c r="G43" s="31"/>
      <c r="H43" s="31"/>
      <c r="I43" s="32" t="str">
        <f aca="true">IF($H43="","",MAX(0,$H43-TODAY()))</f>
        <v/>
      </c>
      <c r="J43" s="29"/>
      <c r="K43" s="30"/>
      <c r="L43" s="29"/>
      <c r="M43" s="29"/>
    </row>
    <row r="44" customFormat="false" ht="15" hidden="false" customHeight="false" outlineLevel="0" collapsed="false">
      <c r="B44" s="29"/>
      <c r="C44" s="30"/>
      <c r="D44" s="30"/>
      <c r="E44" s="29"/>
      <c r="F44" s="29"/>
      <c r="G44" s="31"/>
      <c r="H44" s="31"/>
      <c r="I44" s="32" t="str">
        <f aca="true">IF($H44="","",MAX(0,$H44-TODAY()))</f>
        <v/>
      </c>
      <c r="J44" s="29"/>
      <c r="K44" s="30"/>
      <c r="L44" s="29"/>
      <c r="M44" s="29"/>
    </row>
    <row r="45" customFormat="false" ht="15" hidden="false" customHeight="false" outlineLevel="0" collapsed="false">
      <c r="B45" s="29"/>
      <c r="C45" s="30"/>
      <c r="D45" s="30"/>
      <c r="E45" s="29"/>
      <c r="F45" s="29"/>
      <c r="G45" s="31"/>
      <c r="H45" s="31"/>
      <c r="I45" s="32" t="str">
        <f aca="true">IF($H45="","",MAX(0,$H45-TODAY()))</f>
        <v/>
      </c>
      <c r="J45" s="29"/>
      <c r="K45" s="30"/>
      <c r="L45" s="29"/>
      <c r="M45" s="29"/>
    </row>
    <row r="46" customFormat="false" ht="15" hidden="false" customHeight="false" outlineLevel="0" collapsed="false">
      <c r="B46" s="29"/>
      <c r="C46" s="30"/>
      <c r="D46" s="30"/>
      <c r="E46" s="29"/>
      <c r="F46" s="29"/>
      <c r="G46" s="31"/>
      <c r="H46" s="31"/>
      <c r="I46" s="32" t="str">
        <f aca="true">IF($H46="","",MAX(0,$H46-TODAY()))</f>
        <v/>
      </c>
      <c r="J46" s="29"/>
      <c r="K46" s="30"/>
      <c r="L46" s="29"/>
      <c r="M46" s="29"/>
    </row>
    <row r="47" customFormat="false" ht="15" hidden="false" customHeight="false" outlineLevel="0" collapsed="false">
      <c r="B47" s="29"/>
      <c r="C47" s="30"/>
      <c r="D47" s="30"/>
      <c r="E47" s="29"/>
      <c r="F47" s="29"/>
      <c r="G47" s="31"/>
      <c r="H47" s="31"/>
      <c r="I47" s="32" t="str">
        <f aca="true">IF($H47="","",MAX(0,$H47-TODAY()))</f>
        <v/>
      </c>
      <c r="J47" s="29"/>
      <c r="K47" s="30"/>
      <c r="L47" s="29"/>
      <c r="M47" s="29"/>
    </row>
    <row r="48" customFormat="false" ht="15" hidden="false" customHeight="false" outlineLevel="0" collapsed="false">
      <c r="B48" s="29"/>
      <c r="C48" s="30"/>
      <c r="D48" s="30"/>
      <c r="E48" s="29"/>
      <c r="F48" s="29"/>
      <c r="G48" s="31"/>
      <c r="H48" s="31"/>
      <c r="I48" s="32" t="str">
        <f aca="true">IF($H48="","",MAX(0,$H48-TODAY()))</f>
        <v/>
      </c>
      <c r="J48" s="29"/>
      <c r="K48" s="30"/>
      <c r="L48" s="29"/>
      <c r="M48" s="29"/>
    </row>
    <row r="49" customFormat="false" ht="15" hidden="false" customHeight="false" outlineLevel="0" collapsed="false">
      <c r="B49" s="29"/>
      <c r="C49" s="30"/>
      <c r="D49" s="30"/>
      <c r="E49" s="29"/>
      <c r="F49" s="29"/>
      <c r="G49" s="31"/>
      <c r="H49" s="31"/>
      <c r="I49" s="32" t="str">
        <f aca="true">IF($H49="","",MAX(0,$H49-TODAY()))</f>
        <v/>
      </c>
      <c r="J49" s="29"/>
      <c r="K49" s="30"/>
      <c r="L49" s="29"/>
      <c r="M49" s="29"/>
    </row>
    <row r="50" customFormat="false" ht="15" hidden="false" customHeight="false" outlineLevel="0" collapsed="false">
      <c r="B50" s="29"/>
      <c r="C50" s="30"/>
      <c r="D50" s="30"/>
      <c r="E50" s="29"/>
      <c r="F50" s="29"/>
      <c r="G50" s="31"/>
      <c r="H50" s="31"/>
      <c r="I50" s="32" t="str">
        <f aca="true">IF($H50="","",MAX(0,$H50-TODAY()))</f>
        <v/>
      </c>
      <c r="J50" s="29"/>
      <c r="K50" s="30"/>
      <c r="L50" s="29"/>
      <c r="M50" s="29"/>
    </row>
    <row r="51" customFormat="false" ht="15" hidden="false" customHeight="false" outlineLevel="0" collapsed="false">
      <c r="B51" s="29"/>
      <c r="C51" s="30"/>
      <c r="D51" s="30"/>
      <c r="E51" s="29"/>
      <c r="F51" s="29"/>
      <c r="G51" s="31"/>
      <c r="H51" s="31"/>
      <c r="I51" s="32" t="str">
        <f aca="true">IF($H51="","",MAX(0,$H51-TODAY()))</f>
        <v/>
      </c>
      <c r="J51" s="29"/>
      <c r="K51" s="30"/>
      <c r="L51" s="29"/>
      <c r="M51" s="29"/>
    </row>
    <row r="52" customFormat="false" ht="15" hidden="false" customHeight="false" outlineLevel="0" collapsed="false">
      <c r="B52" s="29"/>
      <c r="C52" s="30"/>
      <c r="D52" s="30"/>
      <c r="E52" s="29"/>
      <c r="F52" s="29"/>
      <c r="G52" s="31"/>
      <c r="H52" s="31"/>
      <c r="I52" s="32" t="str">
        <f aca="true">IF($H52="","",MAX(0,$H52-TODAY()))</f>
        <v/>
      </c>
      <c r="J52" s="29"/>
      <c r="K52" s="30"/>
      <c r="L52" s="29"/>
      <c r="M52" s="29"/>
    </row>
    <row r="53" customFormat="false" ht="15" hidden="false" customHeight="false" outlineLevel="0" collapsed="false">
      <c r="B53" s="29"/>
      <c r="C53" s="30"/>
      <c r="D53" s="30"/>
      <c r="E53" s="29"/>
      <c r="F53" s="29"/>
      <c r="G53" s="31"/>
      <c r="H53" s="31"/>
      <c r="I53" s="32" t="str">
        <f aca="true">IF($H53="","",MAX(0,$H53-TODAY()))</f>
        <v/>
      </c>
      <c r="J53" s="29"/>
      <c r="K53" s="30"/>
      <c r="L53" s="29"/>
      <c r="M53" s="29"/>
    </row>
    <row r="54" customFormat="false" ht="15" hidden="false" customHeight="false" outlineLevel="0" collapsed="false">
      <c r="B54" s="29"/>
      <c r="C54" s="30"/>
      <c r="D54" s="30"/>
      <c r="E54" s="29"/>
      <c r="F54" s="29"/>
      <c r="G54" s="31"/>
      <c r="H54" s="31"/>
      <c r="I54" s="32" t="str">
        <f aca="true">IF($H54="","",MAX(0,$H54-TODAY()))</f>
        <v/>
      </c>
      <c r="J54" s="29"/>
      <c r="K54" s="30"/>
      <c r="L54" s="29"/>
      <c r="M54" s="29"/>
    </row>
    <row r="55" customFormat="false" ht="15" hidden="false" customHeight="false" outlineLevel="0" collapsed="false">
      <c r="B55" s="29"/>
      <c r="C55" s="30"/>
      <c r="D55" s="30"/>
      <c r="E55" s="29"/>
      <c r="F55" s="29"/>
      <c r="G55" s="31"/>
      <c r="H55" s="31"/>
      <c r="I55" s="32" t="str">
        <f aca="true">IF($H55="","",MAX(0,$H55-TODAY()))</f>
        <v/>
      </c>
      <c r="J55" s="29"/>
      <c r="K55" s="30"/>
      <c r="L55" s="29"/>
      <c r="M55" s="29"/>
    </row>
    <row r="56" customFormat="false" ht="15" hidden="false" customHeight="false" outlineLevel="0" collapsed="false">
      <c r="B56" s="29"/>
      <c r="C56" s="30"/>
      <c r="D56" s="30"/>
      <c r="E56" s="29"/>
      <c r="F56" s="29"/>
      <c r="G56" s="31"/>
      <c r="H56" s="31"/>
      <c r="I56" s="32" t="str">
        <f aca="true">IF($H56="","",MAX(0,$H56-TODAY()))</f>
        <v/>
      </c>
      <c r="J56" s="29"/>
      <c r="K56" s="30"/>
      <c r="L56" s="29"/>
      <c r="M56" s="29"/>
    </row>
    <row r="57" customFormat="false" ht="15" hidden="false" customHeight="false" outlineLevel="0" collapsed="false">
      <c r="B57" s="29"/>
      <c r="C57" s="30"/>
      <c r="D57" s="30"/>
      <c r="E57" s="29"/>
      <c r="F57" s="29"/>
      <c r="G57" s="31"/>
      <c r="H57" s="31"/>
      <c r="I57" s="32" t="str">
        <f aca="true">IF($H57="","",MAX(0,$H57-TODAY()))</f>
        <v/>
      </c>
      <c r="J57" s="29"/>
      <c r="K57" s="30"/>
      <c r="L57" s="29"/>
      <c r="M57" s="29"/>
    </row>
    <row r="58" customFormat="false" ht="15" hidden="false" customHeight="false" outlineLevel="0" collapsed="false">
      <c r="B58" s="29"/>
      <c r="C58" s="30"/>
      <c r="D58" s="30"/>
      <c r="E58" s="29"/>
      <c r="F58" s="29"/>
      <c r="G58" s="31"/>
      <c r="H58" s="31"/>
      <c r="I58" s="32" t="str">
        <f aca="true">IF($H58="","",MAX(0,$H58-TODAY()))</f>
        <v/>
      </c>
      <c r="J58" s="29"/>
      <c r="K58" s="30"/>
      <c r="L58" s="29"/>
      <c r="M58" s="29"/>
    </row>
    <row r="59" customFormat="false" ht="15" hidden="false" customHeight="false" outlineLevel="0" collapsed="false">
      <c r="B59" s="29"/>
      <c r="C59" s="30"/>
      <c r="D59" s="30"/>
      <c r="E59" s="29"/>
      <c r="F59" s="29"/>
      <c r="G59" s="31"/>
      <c r="H59" s="31"/>
      <c r="I59" s="32" t="str">
        <f aca="true">IF($H59="","",MAX(0,$H59-TODAY()))</f>
        <v/>
      </c>
      <c r="J59" s="29"/>
      <c r="K59" s="30"/>
      <c r="L59" s="29"/>
      <c r="M59" s="29"/>
    </row>
    <row r="60" customFormat="false" ht="15" hidden="false" customHeight="false" outlineLevel="0" collapsed="false">
      <c r="B60" s="29"/>
      <c r="C60" s="30"/>
      <c r="D60" s="30"/>
      <c r="E60" s="29"/>
      <c r="F60" s="29"/>
      <c r="G60" s="31"/>
      <c r="H60" s="31"/>
      <c r="I60" s="32" t="str">
        <f aca="true">IF($H60="","",MAX(0,$H60-TODAY()))</f>
        <v/>
      </c>
      <c r="J60" s="29"/>
      <c r="K60" s="30"/>
      <c r="L60" s="29"/>
      <c r="M60" s="29"/>
    </row>
    <row r="61" customFormat="false" ht="15" hidden="false" customHeight="false" outlineLevel="0" collapsed="false">
      <c r="B61" s="29"/>
      <c r="C61" s="30"/>
      <c r="D61" s="30"/>
      <c r="E61" s="29"/>
      <c r="F61" s="29"/>
      <c r="G61" s="31"/>
      <c r="H61" s="31"/>
      <c r="I61" s="32" t="str">
        <f aca="true">IF($H61="","",MAX(0,$H61-TODAY()))</f>
        <v/>
      </c>
      <c r="J61" s="29"/>
      <c r="K61" s="30"/>
      <c r="L61" s="29"/>
      <c r="M61" s="29"/>
    </row>
    <row r="62" customFormat="false" ht="15" hidden="false" customHeight="false" outlineLevel="0" collapsed="false">
      <c r="B62" s="29"/>
      <c r="C62" s="30"/>
      <c r="D62" s="30"/>
      <c r="E62" s="29"/>
      <c r="F62" s="29"/>
      <c r="G62" s="31"/>
      <c r="H62" s="31"/>
      <c r="I62" s="32" t="str">
        <f aca="true">IF($H62="","",MAX(0,$H62-TODAY()))</f>
        <v/>
      </c>
      <c r="J62" s="29"/>
      <c r="K62" s="30"/>
      <c r="L62" s="29"/>
      <c r="M62" s="29"/>
    </row>
    <row r="63" customFormat="false" ht="15" hidden="false" customHeight="false" outlineLevel="0" collapsed="false">
      <c r="B63" s="29"/>
      <c r="C63" s="30"/>
      <c r="D63" s="30"/>
      <c r="E63" s="29"/>
      <c r="F63" s="29"/>
      <c r="G63" s="31"/>
      <c r="H63" s="31"/>
      <c r="I63" s="32" t="str">
        <f aca="true">IF($H63="","",MAX(0,$H63-TODAY()))</f>
        <v/>
      </c>
      <c r="J63" s="29"/>
      <c r="K63" s="30"/>
      <c r="L63" s="29"/>
      <c r="M63" s="29"/>
    </row>
    <row r="64" customFormat="false" ht="15" hidden="false" customHeight="false" outlineLevel="0" collapsed="false">
      <c r="B64" s="29"/>
      <c r="C64" s="30"/>
      <c r="D64" s="30"/>
      <c r="E64" s="29"/>
      <c r="F64" s="29"/>
      <c r="G64" s="31"/>
      <c r="H64" s="31"/>
      <c r="I64" s="32" t="str">
        <f aca="true">IF($H64="","",MAX(0,$H64-TODAY()))</f>
        <v/>
      </c>
      <c r="J64" s="29"/>
      <c r="K64" s="30"/>
      <c r="L64" s="29"/>
      <c r="M64" s="29"/>
    </row>
    <row r="65" customFormat="false" ht="15" hidden="false" customHeight="false" outlineLevel="0" collapsed="false">
      <c r="B65" s="29"/>
      <c r="C65" s="30"/>
      <c r="D65" s="30"/>
      <c r="E65" s="29"/>
      <c r="F65" s="29"/>
      <c r="G65" s="31"/>
      <c r="H65" s="31"/>
      <c r="I65" s="32" t="str">
        <f aca="true">IF($H65="","",MAX(0,$H65-TODAY()))</f>
        <v/>
      </c>
      <c r="J65" s="29"/>
      <c r="K65" s="30"/>
      <c r="L65" s="29"/>
      <c r="M65" s="29"/>
    </row>
    <row r="66" customFormat="false" ht="15" hidden="false" customHeight="false" outlineLevel="0" collapsed="false">
      <c r="B66" s="29"/>
      <c r="C66" s="30"/>
      <c r="D66" s="30"/>
      <c r="E66" s="29"/>
      <c r="F66" s="29"/>
      <c r="G66" s="31"/>
      <c r="H66" s="31"/>
      <c r="I66" s="32" t="str">
        <f aca="true">IF($H66="","",MAX(0,$H66-TODAY()))</f>
        <v/>
      </c>
      <c r="J66" s="29"/>
      <c r="K66" s="30"/>
      <c r="L66" s="29"/>
      <c r="M66" s="29"/>
    </row>
    <row r="67" customFormat="false" ht="15" hidden="false" customHeight="false" outlineLevel="0" collapsed="false">
      <c r="B67" s="29"/>
      <c r="C67" s="30"/>
      <c r="D67" s="30"/>
      <c r="E67" s="29"/>
      <c r="F67" s="29"/>
      <c r="G67" s="31"/>
      <c r="H67" s="31"/>
      <c r="I67" s="32" t="str">
        <f aca="true">IF($H67="","",MAX(0,$H67-TODAY()))</f>
        <v/>
      </c>
      <c r="J67" s="29"/>
      <c r="K67" s="30"/>
      <c r="L67" s="29"/>
      <c r="M67" s="29"/>
    </row>
    <row r="68" customFormat="false" ht="15" hidden="false" customHeight="false" outlineLevel="0" collapsed="false">
      <c r="B68" s="29"/>
      <c r="C68" s="30"/>
      <c r="D68" s="30"/>
      <c r="E68" s="29"/>
      <c r="F68" s="29"/>
      <c r="G68" s="31"/>
      <c r="H68" s="31"/>
      <c r="I68" s="32" t="str">
        <f aca="true">IF($H68="","",MAX(0,$H68-TODAY()))</f>
        <v/>
      </c>
      <c r="J68" s="29"/>
      <c r="K68" s="30"/>
      <c r="L68" s="29"/>
      <c r="M68" s="29"/>
    </row>
    <row r="69" customFormat="false" ht="15" hidden="false" customHeight="false" outlineLevel="0" collapsed="false">
      <c r="B69" s="29"/>
      <c r="C69" s="30"/>
      <c r="D69" s="30"/>
      <c r="E69" s="29"/>
      <c r="F69" s="29"/>
      <c r="G69" s="31"/>
      <c r="H69" s="31"/>
      <c r="I69" s="32" t="str">
        <f aca="true">IF($H69="","",MAX(0,$H69-TODAY()))</f>
        <v/>
      </c>
      <c r="J69" s="29"/>
      <c r="K69" s="30"/>
      <c r="L69" s="29"/>
      <c r="M69" s="29"/>
    </row>
    <row r="70" customFormat="false" ht="15" hidden="false" customHeight="false" outlineLevel="0" collapsed="false">
      <c r="B70" s="29"/>
      <c r="C70" s="30"/>
      <c r="D70" s="30"/>
      <c r="E70" s="29"/>
      <c r="F70" s="29"/>
      <c r="G70" s="31"/>
      <c r="H70" s="31"/>
      <c r="I70" s="32" t="str">
        <f aca="true">IF($H70="","",MAX(0,$H70-TODAY()))</f>
        <v/>
      </c>
      <c r="J70" s="29"/>
      <c r="K70" s="30"/>
      <c r="L70" s="29"/>
      <c r="M70" s="29"/>
    </row>
    <row r="71" customFormat="false" ht="15" hidden="false" customHeight="false" outlineLevel="0" collapsed="false">
      <c r="B71" s="29"/>
      <c r="C71" s="30"/>
      <c r="D71" s="30"/>
      <c r="E71" s="29"/>
      <c r="F71" s="29"/>
      <c r="G71" s="31"/>
      <c r="H71" s="31"/>
      <c r="I71" s="32" t="str">
        <f aca="true">IF($H71="","",MAX(0,$H71-TODAY()))</f>
        <v/>
      </c>
      <c r="J71" s="29"/>
      <c r="K71" s="30"/>
      <c r="L71" s="29"/>
      <c r="M71" s="29"/>
    </row>
    <row r="72" customFormat="false" ht="15" hidden="false" customHeight="false" outlineLevel="0" collapsed="false">
      <c r="B72" s="29"/>
      <c r="C72" s="30"/>
      <c r="D72" s="30"/>
      <c r="E72" s="29"/>
      <c r="F72" s="29"/>
      <c r="G72" s="31"/>
      <c r="H72" s="31"/>
      <c r="I72" s="32" t="str">
        <f aca="true">IF($H72="","",MAX(0,$H72-TODAY()))</f>
        <v/>
      </c>
      <c r="J72" s="29"/>
      <c r="K72" s="30"/>
      <c r="L72" s="29"/>
      <c r="M72" s="29"/>
    </row>
    <row r="73" customFormat="false" ht="15" hidden="false" customHeight="false" outlineLevel="0" collapsed="false">
      <c r="B73" s="29"/>
      <c r="C73" s="30"/>
      <c r="D73" s="30"/>
      <c r="E73" s="29"/>
      <c r="F73" s="29"/>
      <c r="G73" s="31"/>
      <c r="H73" s="31"/>
      <c r="I73" s="32" t="str">
        <f aca="true">IF($H73="","",MAX(0,$H73-TODAY()))</f>
        <v/>
      </c>
      <c r="J73" s="29"/>
      <c r="K73" s="30"/>
      <c r="L73" s="29"/>
      <c r="M73" s="29"/>
    </row>
    <row r="74" customFormat="false" ht="15" hidden="false" customHeight="false" outlineLevel="0" collapsed="false">
      <c r="B74" s="29"/>
      <c r="C74" s="30"/>
      <c r="D74" s="30"/>
      <c r="E74" s="29"/>
      <c r="F74" s="29"/>
      <c r="G74" s="31"/>
      <c r="H74" s="31"/>
      <c r="I74" s="32" t="str">
        <f aca="true">IF($H74="","",MAX(0,$H74-TODAY()))</f>
        <v/>
      </c>
      <c r="J74" s="29"/>
      <c r="K74" s="30"/>
      <c r="L74" s="29"/>
      <c r="M74" s="29"/>
    </row>
    <row r="75" customFormat="false" ht="15" hidden="false" customHeight="false" outlineLevel="0" collapsed="false">
      <c r="B75" s="29"/>
      <c r="C75" s="30"/>
      <c r="D75" s="30"/>
      <c r="E75" s="29"/>
      <c r="F75" s="29"/>
      <c r="G75" s="31"/>
      <c r="H75" s="31"/>
      <c r="I75" s="32" t="str">
        <f aca="true">IF($H75="","",MAX(0,$H75-TODAY()))</f>
        <v/>
      </c>
      <c r="J75" s="29"/>
      <c r="K75" s="30"/>
      <c r="L75" s="29"/>
      <c r="M75" s="29"/>
    </row>
    <row r="76" customFormat="false" ht="15" hidden="false" customHeight="false" outlineLevel="0" collapsed="false">
      <c r="B76" s="29"/>
      <c r="C76" s="30"/>
      <c r="D76" s="30"/>
      <c r="E76" s="29"/>
      <c r="F76" s="29"/>
      <c r="G76" s="31"/>
      <c r="H76" s="31"/>
      <c r="I76" s="32" t="str">
        <f aca="true">IF($H76="","",MAX(0,$H76-TODAY()))</f>
        <v/>
      </c>
      <c r="J76" s="29"/>
      <c r="K76" s="30"/>
      <c r="L76" s="29"/>
      <c r="M76" s="29"/>
    </row>
    <row r="77" customFormat="false" ht="15" hidden="false" customHeight="false" outlineLevel="0" collapsed="false">
      <c r="B77" s="29"/>
      <c r="C77" s="30"/>
      <c r="D77" s="30"/>
      <c r="E77" s="29"/>
      <c r="F77" s="29"/>
      <c r="G77" s="31"/>
      <c r="H77" s="31"/>
      <c r="I77" s="32" t="str">
        <f aca="true">IF($H77="","",MAX(0,$H77-TODAY()))</f>
        <v/>
      </c>
      <c r="J77" s="29"/>
      <c r="K77" s="30"/>
      <c r="L77" s="29"/>
      <c r="M77" s="29"/>
    </row>
    <row r="78" customFormat="false" ht="15" hidden="false" customHeight="false" outlineLevel="0" collapsed="false">
      <c r="B78" s="29"/>
      <c r="C78" s="30"/>
      <c r="D78" s="30"/>
      <c r="E78" s="29"/>
      <c r="F78" s="29"/>
      <c r="G78" s="31"/>
      <c r="H78" s="31"/>
      <c r="I78" s="32" t="str">
        <f aca="true">IF($H78="","",MAX(0,$H78-TODAY()))</f>
        <v/>
      </c>
      <c r="J78" s="29"/>
      <c r="K78" s="30"/>
      <c r="L78" s="29"/>
      <c r="M78" s="29"/>
    </row>
    <row r="79" customFormat="false" ht="15" hidden="false" customHeight="false" outlineLevel="0" collapsed="false">
      <c r="B79" s="29"/>
      <c r="C79" s="30"/>
      <c r="D79" s="30"/>
      <c r="E79" s="29"/>
      <c r="F79" s="29"/>
      <c r="G79" s="31"/>
      <c r="H79" s="31"/>
      <c r="I79" s="32" t="str">
        <f aca="true">IF($H79="","",MAX(0,$H79-TODAY()))</f>
        <v/>
      </c>
      <c r="J79" s="29"/>
      <c r="K79" s="30"/>
      <c r="L79" s="29"/>
      <c r="M79" s="29"/>
    </row>
    <row r="80" customFormat="false" ht="15" hidden="false" customHeight="false" outlineLevel="0" collapsed="false">
      <c r="B80" s="29"/>
      <c r="C80" s="30"/>
      <c r="D80" s="30"/>
      <c r="E80" s="29"/>
      <c r="F80" s="29"/>
      <c r="G80" s="31"/>
      <c r="H80" s="31"/>
      <c r="I80" s="32" t="str">
        <f aca="true">IF($H80="","",MAX(0,$H80-TODAY()))</f>
        <v/>
      </c>
      <c r="J80" s="29"/>
      <c r="K80" s="30"/>
      <c r="L80" s="29"/>
      <c r="M80" s="29"/>
    </row>
    <row r="81" customFormat="false" ht="15" hidden="false" customHeight="false" outlineLevel="0" collapsed="false">
      <c r="B81" s="29"/>
      <c r="C81" s="30"/>
      <c r="D81" s="30"/>
      <c r="E81" s="29"/>
      <c r="F81" s="29"/>
      <c r="G81" s="31"/>
      <c r="H81" s="31"/>
      <c r="I81" s="32" t="str">
        <f aca="true">IF($H81="","",MAX(0,$H81-TODAY()))</f>
        <v/>
      </c>
      <c r="J81" s="29"/>
      <c r="K81" s="30"/>
      <c r="L81" s="29"/>
      <c r="M81" s="29"/>
    </row>
    <row r="82" customFormat="false" ht="15" hidden="false" customHeight="false" outlineLevel="0" collapsed="false">
      <c r="B82" s="29"/>
      <c r="C82" s="30"/>
      <c r="D82" s="30"/>
      <c r="E82" s="29"/>
      <c r="F82" s="29"/>
      <c r="G82" s="31"/>
      <c r="H82" s="31"/>
      <c r="I82" s="32" t="str">
        <f aca="true">IF($H82="","",MAX(0,$H82-TODAY()))</f>
        <v/>
      </c>
      <c r="J82" s="29"/>
      <c r="K82" s="30"/>
      <c r="L82" s="29"/>
      <c r="M82" s="29"/>
    </row>
    <row r="83" customFormat="false" ht="15" hidden="false" customHeight="false" outlineLevel="0" collapsed="false">
      <c r="B83" s="29"/>
      <c r="C83" s="30"/>
      <c r="D83" s="30"/>
      <c r="E83" s="29"/>
      <c r="F83" s="29"/>
      <c r="G83" s="31"/>
      <c r="H83" s="31"/>
      <c r="I83" s="32" t="str">
        <f aca="true">IF($H83="","",MAX(0,$H83-TODAY()))</f>
        <v/>
      </c>
      <c r="J83" s="29"/>
      <c r="K83" s="30"/>
      <c r="L83" s="29"/>
      <c r="M83" s="29"/>
    </row>
    <row r="84" customFormat="false" ht="15" hidden="false" customHeight="false" outlineLevel="0" collapsed="false">
      <c r="B84" s="29"/>
      <c r="C84" s="30"/>
      <c r="D84" s="30"/>
      <c r="E84" s="29"/>
      <c r="F84" s="29"/>
      <c r="G84" s="31"/>
      <c r="H84" s="31"/>
      <c r="I84" s="32" t="str">
        <f aca="true">IF($H84="","",MAX(0,$H84-TODAY()))</f>
        <v/>
      </c>
      <c r="J84" s="29"/>
      <c r="K84" s="30"/>
      <c r="L84" s="29"/>
      <c r="M84" s="29"/>
    </row>
    <row r="85" customFormat="false" ht="15" hidden="false" customHeight="false" outlineLevel="0" collapsed="false">
      <c r="B85" s="29"/>
      <c r="C85" s="30"/>
      <c r="D85" s="30"/>
      <c r="E85" s="29"/>
      <c r="F85" s="29"/>
      <c r="G85" s="31"/>
      <c r="H85" s="31"/>
      <c r="I85" s="32" t="str">
        <f aca="true">IF($H85="","",MAX(0,$H85-TODAY()))</f>
        <v/>
      </c>
      <c r="J85" s="29"/>
      <c r="K85" s="30"/>
      <c r="L85" s="29"/>
      <c r="M85" s="29"/>
    </row>
    <row r="86" customFormat="false" ht="15" hidden="false" customHeight="false" outlineLevel="0" collapsed="false">
      <c r="B86" s="29"/>
      <c r="C86" s="30"/>
      <c r="D86" s="30"/>
      <c r="E86" s="29"/>
      <c r="F86" s="29"/>
      <c r="G86" s="31"/>
      <c r="H86" s="31"/>
      <c r="I86" s="32" t="str">
        <f aca="true">IF($H86="","",MAX(0,$H86-TODAY()))</f>
        <v/>
      </c>
      <c r="J86" s="29"/>
      <c r="K86" s="30"/>
      <c r="L86" s="29"/>
      <c r="M86" s="29"/>
    </row>
    <row r="87" customFormat="false" ht="15" hidden="false" customHeight="false" outlineLevel="0" collapsed="false">
      <c r="B87" s="29"/>
      <c r="C87" s="30"/>
      <c r="D87" s="30"/>
      <c r="E87" s="29"/>
      <c r="F87" s="29"/>
      <c r="G87" s="31"/>
      <c r="H87" s="31"/>
      <c r="I87" s="32" t="str">
        <f aca="true">IF($H87="","",MAX(0,$H87-TODAY()))</f>
        <v/>
      </c>
      <c r="J87" s="29"/>
      <c r="K87" s="30"/>
      <c r="L87" s="29"/>
      <c r="M87" s="29"/>
    </row>
    <row r="88" customFormat="false" ht="15" hidden="false" customHeight="false" outlineLevel="0" collapsed="false">
      <c r="B88" s="29"/>
      <c r="C88" s="30"/>
      <c r="D88" s="30"/>
      <c r="E88" s="29"/>
      <c r="F88" s="29"/>
      <c r="G88" s="31"/>
      <c r="H88" s="31"/>
      <c r="I88" s="32" t="str">
        <f aca="true">IF($H88="","",MAX(0,$H88-TODAY()))</f>
        <v/>
      </c>
      <c r="J88" s="29"/>
      <c r="K88" s="30"/>
      <c r="L88" s="29"/>
      <c r="M88" s="29"/>
    </row>
    <row r="89" customFormat="false" ht="15" hidden="false" customHeight="false" outlineLevel="0" collapsed="false">
      <c r="B89" s="29"/>
      <c r="C89" s="30"/>
      <c r="D89" s="30"/>
      <c r="E89" s="29"/>
      <c r="F89" s="29"/>
      <c r="G89" s="31"/>
      <c r="H89" s="31"/>
      <c r="I89" s="32" t="str">
        <f aca="true">IF($H89="","",MAX(0,$H89-TODAY()))</f>
        <v/>
      </c>
      <c r="J89" s="29"/>
      <c r="K89" s="30"/>
      <c r="L89" s="29"/>
      <c r="M89" s="29"/>
    </row>
    <row r="90" customFormat="false" ht="15" hidden="false" customHeight="false" outlineLevel="0" collapsed="false">
      <c r="B90" s="29"/>
      <c r="C90" s="30"/>
      <c r="D90" s="30"/>
      <c r="E90" s="29"/>
      <c r="F90" s="29"/>
      <c r="G90" s="31"/>
      <c r="H90" s="31"/>
      <c r="I90" s="32" t="str">
        <f aca="true">IF($H90="","",MAX(0,$H90-TODAY()))</f>
        <v/>
      </c>
      <c r="J90" s="29"/>
      <c r="K90" s="30"/>
      <c r="L90" s="29"/>
      <c r="M90" s="29"/>
    </row>
    <row r="91" customFormat="false" ht="15" hidden="false" customHeight="false" outlineLevel="0" collapsed="false">
      <c r="B91" s="29"/>
      <c r="C91" s="30"/>
      <c r="D91" s="30"/>
      <c r="E91" s="29"/>
      <c r="F91" s="29"/>
      <c r="G91" s="31"/>
      <c r="H91" s="31"/>
      <c r="I91" s="32" t="str">
        <f aca="true">IF($H91="","",MAX(0,$H91-TODAY()))</f>
        <v/>
      </c>
      <c r="J91" s="29"/>
      <c r="K91" s="30"/>
      <c r="L91" s="29"/>
      <c r="M91" s="29"/>
    </row>
    <row r="92" customFormat="false" ht="15" hidden="false" customHeight="false" outlineLevel="0" collapsed="false">
      <c r="B92" s="29"/>
      <c r="C92" s="30"/>
      <c r="D92" s="30"/>
      <c r="E92" s="29"/>
      <c r="F92" s="29"/>
      <c r="G92" s="31"/>
      <c r="H92" s="31"/>
      <c r="I92" s="32" t="str">
        <f aca="true">IF($H92="","",MAX(0,$H92-TODAY()))</f>
        <v/>
      </c>
      <c r="J92" s="29"/>
      <c r="K92" s="30"/>
      <c r="L92" s="29"/>
      <c r="M92" s="29"/>
    </row>
    <row r="93" customFormat="false" ht="15" hidden="false" customHeight="false" outlineLevel="0" collapsed="false">
      <c r="B93" s="29"/>
      <c r="C93" s="30"/>
      <c r="D93" s="30"/>
      <c r="E93" s="29"/>
      <c r="F93" s="29"/>
      <c r="G93" s="31"/>
      <c r="H93" s="31"/>
      <c r="I93" s="32" t="str">
        <f aca="true">IF($H93="","",MAX(0,$H93-TODAY()))</f>
        <v/>
      </c>
      <c r="J93" s="29"/>
      <c r="K93" s="30"/>
      <c r="L93" s="29"/>
      <c r="M93" s="29"/>
    </row>
    <row r="94" customFormat="false" ht="15" hidden="false" customHeight="false" outlineLevel="0" collapsed="false">
      <c r="B94" s="29"/>
      <c r="C94" s="30"/>
      <c r="D94" s="30"/>
      <c r="E94" s="29"/>
      <c r="F94" s="29"/>
      <c r="G94" s="31"/>
      <c r="H94" s="31"/>
      <c r="I94" s="32" t="str">
        <f aca="true">IF($H94="","",MAX(0,$H94-TODAY()))</f>
        <v/>
      </c>
      <c r="J94" s="29"/>
      <c r="K94" s="30"/>
      <c r="L94" s="29"/>
      <c r="M94" s="29"/>
    </row>
    <row r="95" customFormat="false" ht="15" hidden="false" customHeight="false" outlineLevel="0" collapsed="false">
      <c r="B95" s="29"/>
      <c r="C95" s="30"/>
      <c r="D95" s="30"/>
      <c r="E95" s="29"/>
      <c r="F95" s="29"/>
      <c r="G95" s="31"/>
      <c r="H95" s="31"/>
      <c r="I95" s="32" t="str">
        <f aca="true">IF($H95="","",MAX(0,$H95-TODAY()))</f>
        <v/>
      </c>
      <c r="J95" s="29"/>
      <c r="K95" s="30"/>
      <c r="L95" s="29"/>
      <c r="M95" s="29"/>
    </row>
    <row r="96" customFormat="false" ht="15" hidden="false" customHeight="false" outlineLevel="0" collapsed="false">
      <c r="B96" s="29"/>
      <c r="C96" s="30"/>
      <c r="D96" s="30"/>
      <c r="E96" s="29"/>
      <c r="F96" s="29"/>
      <c r="G96" s="31"/>
      <c r="H96" s="31"/>
      <c r="I96" s="32" t="str">
        <f aca="true">IF($H96="","",MAX(0,$H96-TODAY()))</f>
        <v/>
      </c>
      <c r="J96" s="29"/>
      <c r="K96" s="30"/>
      <c r="L96" s="29"/>
      <c r="M96" s="29"/>
    </row>
    <row r="97" customFormat="false" ht="15" hidden="false" customHeight="false" outlineLevel="0" collapsed="false">
      <c r="B97" s="29"/>
      <c r="C97" s="30"/>
      <c r="D97" s="30"/>
      <c r="E97" s="29"/>
      <c r="F97" s="29"/>
      <c r="G97" s="31"/>
      <c r="H97" s="31"/>
      <c r="I97" s="32" t="str">
        <f aca="true">IF($H97="","",MAX(0,$H97-TODAY()))</f>
        <v/>
      </c>
      <c r="J97" s="29"/>
      <c r="K97" s="30"/>
      <c r="L97" s="29"/>
      <c r="M97" s="29"/>
    </row>
    <row r="98" customFormat="false" ht="15" hidden="false" customHeight="false" outlineLevel="0" collapsed="false">
      <c r="B98" s="29"/>
      <c r="C98" s="30"/>
      <c r="D98" s="30"/>
      <c r="E98" s="29"/>
      <c r="F98" s="29"/>
      <c r="G98" s="31"/>
      <c r="H98" s="31"/>
      <c r="I98" s="32" t="str">
        <f aca="true">IF($H98="","",MAX(0,$H98-TODAY()))</f>
        <v/>
      </c>
      <c r="J98" s="29"/>
      <c r="K98" s="30"/>
      <c r="L98" s="29"/>
      <c r="M98" s="29"/>
    </row>
    <row r="99" customFormat="false" ht="15" hidden="false" customHeight="false" outlineLevel="0" collapsed="false">
      <c r="B99" s="29"/>
      <c r="C99" s="30"/>
      <c r="D99" s="30"/>
      <c r="E99" s="29"/>
      <c r="F99" s="29"/>
      <c r="G99" s="31"/>
      <c r="H99" s="31"/>
      <c r="I99" s="32" t="str">
        <f aca="true">IF($H99="","",MAX(0,$H99-TODAY()))</f>
        <v/>
      </c>
      <c r="J99" s="29"/>
      <c r="K99" s="30"/>
      <c r="L99" s="29"/>
      <c r="M99" s="29"/>
    </row>
    <row r="100" customFormat="false" ht="15" hidden="false" customHeight="false" outlineLevel="0" collapsed="false">
      <c r="B100" s="29"/>
      <c r="C100" s="30"/>
      <c r="D100" s="30"/>
      <c r="E100" s="29"/>
      <c r="F100" s="29"/>
      <c r="G100" s="31"/>
      <c r="H100" s="31"/>
      <c r="I100" s="32" t="str">
        <f aca="true">IF($H100="","",MAX(0,$H100-TODAY()))</f>
        <v/>
      </c>
      <c r="J100" s="29"/>
      <c r="K100" s="30"/>
      <c r="L100" s="29"/>
      <c r="M100" s="29"/>
    </row>
  </sheetData>
  <autoFilter ref="B2:M100"/>
  <mergeCells count="1">
    <mergeCell ref="B1:M1"/>
  </mergeCells>
  <conditionalFormatting sqref="I3:I500">
    <cfRule type="cellIs" priority="2" operator="lessThanOrEqual" aboveAverage="0" equalAverage="0" bottom="0" percent="0" rank="0" text="" dxfId="8">
      <formula>Settings!$C$14</formula>
    </cfRule>
    <cfRule type="cellIs" priority="3" operator="lessThan" aboveAverage="0" equalAverage="0" bottom="0" percent="0" rank="0" text="" dxfId="9">
      <formula>Settings!$C$14*2</formula>
    </cfRule>
  </conditionalFormatting>
  <conditionalFormatting sqref="J3:J500">
    <cfRule type="cellIs" priority="4" operator="lessThanOrEqual" aboveAverage="0" equalAverage="0" bottom="0" percent="0" rank="0" text="" dxfId="8">
      <formula>Settings!$C$15</formula>
    </cfRule>
  </conditionalFormatting>
  <dataValidations count="2">
    <dataValidation allowBlank="true" errorStyle="stop" operator="between" showDropDown="false" showErrorMessage="false" showInputMessage="false" sqref="C3:C500 F3:G500" type="list">
      <formula1>Settings!$B$6:$B$10</formula1>
      <formula2>0</formula2>
    </dataValidation>
    <dataValidation allowBlank="true" errorStyle="stop" operator="between" showDropDown="false" showErrorMessage="false" showInputMessage="false" sqref="M3:M500" type="list">
      <formula1>"Active,Frozen,Expired,Cancelled"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16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2"/>
  </cols>
  <sheetData>
    <row r="1" customFormat="false" ht="30" hidden="false" customHeight="true" outlineLevel="0" collapsed="false">
      <c r="B1" s="27" t="s">
        <v>61</v>
      </c>
      <c r="C1" s="27"/>
      <c r="D1" s="27"/>
      <c r="E1" s="27"/>
      <c r="F1" s="27"/>
      <c r="G1" s="27"/>
      <c r="H1" s="27"/>
      <c r="I1" s="27"/>
      <c r="J1" s="27"/>
      <c r="K1" s="27"/>
      <c r="L1" s="27"/>
    </row>
    <row r="2" customFormat="false" ht="36" hidden="false" customHeight="true" outlineLevel="0" collapsed="false">
      <c r="B2" s="28" t="s">
        <v>62</v>
      </c>
      <c r="C2" s="28" t="s">
        <v>7</v>
      </c>
      <c r="D2" s="28" t="s">
        <v>63</v>
      </c>
      <c r="E2" s="28" t="s">
        <v>21</v>
      </c>
      <c r="F2" s="28" t="s">
        <v>29</v>
      </c>
      <c r="G2" s="28" t="s">
        <v>64</v>
      </c>
      <c r="H2" s="28" t="s">
        <v>65</v>
      </c>
      <c r="I2" s="28" t="s">
        <v>66</v>
      </c>
      <c r="J2" s="28" t="s">
        <v>67</v>
      </c>
      <c r="K2" s="28" t="s">
        <v>68</v>
      </c>
      <c r="L2" s="28" t="s">
        <v>69</v>
      </c>
    </row>
    <row r="3" customFormat="false" ht="21.75" hidden="false" customHeight="true" outlineLevel="0" collapsed="false">
      <c r="B3" s="33" t="n">
        <v>46145.5685741109</v>
      </c>
      <c r="C3" s="29" t="s">
        <v>15</v>
      </c>
      <c r="D3" s="29" t="s">
        <v>70</v>
      </c>
      <c r="E3" s="29" t="s">
        <v>71</v>
      </c>
      <c r="F3" s="29" t="s">
        <v>51</v>
      </c>
      <c r="G3" s="30" t="s">
        <v>72</v>
      </c>
      <c r="H3" s="34" t="n">
        <v>12000</v>
      </c>
      <c r="I3" s="35"/>
      <c r="J3" s="30" t="s">
        <v>73</v>
      </c>
      <c r="K3" s="29" t="s">
        <v>74</v>
      </c>
      <c r="L3" s="35"/>
    </row>
    <row r="4" customFormat="false" ht="21.75" hidden="false" customHeight="true" outlineLevel="0" collapsed="false">
      <c r="B4" s="33" t="n">
        <v>46145.6102407776</v>
      </c>
      <c r="C4" s="29" t="s">
        <v>15</v>
      </c>
      <c r="D4" s="29" t="s">
        <v>75</v>
      </c>
      <c r="E4" s="29" t="s">
        <v>76</v>
      </c>
      <c r="F4" s="29" t="s">
        <v>40</v>
      </c>
      <c r="G4" s="30" t="s">
        <v>77</v>
      </c>
      <c r="H4" s="34" t="n">
        <v>8000</v>
      </c>
      <c r="I4" s="35"/>
      <c r="J4" s="30" t="s">
        <v>78</v>
      </c>
      <c r="K4" s="29" t="s">
        <v>74</v>
      </c>
      <c r="L4" s="35"/>
    </row>
    <row r="5" customFormat="false" ht="21.75" hidden="false" customHeight="true" outlineLevel="0" collapsed="false">
      <c r="B5" s="33" t="n">
        <v>46145.6310741109</v>
      </c>
      <c r="C5" s="29" t="s">
        <v>15</v>
      </c>
      <c r="D5" s="29" t="s">
        <v>70</v>
      </c>
      <c r="E5" s="29" t="s">
        <v>79</v>
      </c>
      <c r="F5" s="29"/>
      <c r="G5" s="30"/>
      <c r="H5" s="34" t="n">
        <v>500</v>
      </c>
      <c r="I5" s="35"/>
      <c r="J5" s="30" t="s">
        <v>80</v>
      </c>
      <c r="K5" s="29" t="s">
        <v>81</v>
      </c>
      <c r="L5" s="35"/>
    </row>
    <row r="6" customFormat="false" ht="21.75" hidden="false" customHeight="true" outlineLevel="0" collapsed="false">
      <c r="B6" s="33" t="n">
        <v>46145.6449629998</v>
      </c>
      <c r="C6" s="29" t="s">
        <v>16</v>
      </c>
      <c r="D6" s="29" t="s">
        <v>82</v>
      </c>
      <c r="E6" s="29" t="s">
        <v>83</v>
      </c>
      <c r="F6" s="29" t="s">
        <v>58</v>
      </c>
      <c r="G6" s="30" t="s">
        <v>84</v>
      </c>
      <c r="H6" s="34" t="n">
        <v>0</v>
      </c>
      <c r="I6" s="35"/>
      <c r="J6" s="30" t="s">
        <v>85</v>
      </c>
      <c r="K6" s="29" t="s">
        <v>81</v>
      </c>
      <c r="L6" s="35"/>
    </row>
    <row r="7" customFormat="false" ht="15" hidden="false" customHeight="false" outlineLevel="0" collapsed="false">
      <c r="B7" s="36"/>
      <c r="C7" s="37"/>
      <c r="D7" s="37"/>
      <c r="E7" s="37"/>
      <c r="F7" s="37"/>
      <c r="G7" s="30"/>
      <c r="H7" s="34"/>
      <c r="I7" s="30"/>
      <c r="J7" s="30"/>
      <c r="K7" s="37"/>
      <c r="L7" s="30"/>
    </row>
    <row r="8" customFormat="false" ht="15" hidden="false" customHeight="false" outlineLevel="0" collapsed="false">
      <c r="B8" s="36"/>
      <c r="C8" s="37"/>
      <c r="D8" s="37"/>
      <c r="E8" s="37"/>
      <c r="F8" s="37"/>
      <c r="G8" s="30"/>
      <c r="H8" s="34"/>
      <c r="I8" s="30"/>
      <c r="J8" s="30"/>
      <c r="K8" s="37"/>
      <c r="L8" s="30"/>
    </row>
    <row r="9" customFormat="false" ht="15" hidden="false" customHeight="false" outlineLevel="0" collapsed="false">
      <c r="B9" s="36"/>
      <c r="C9" s="37"/>
      <c r="D9" s="37"/>
      <c r="E9" s="37"/>
      <c r="F9" s="37"/>
      <c r="G9" s="30"/>
      <c r="H9" s="34"/>
      <c r="I9" s="30"/>
      <c r="J9" s="30"/>
      <c r="K9" s="37"/>
      <c r="L9" s="30"/>
    </row>
    <row r="10" customFormat="false" ht="15" hidden="false" customHeight="false" outlineLevel="0" collapsed="false">
      <c r="B10" s="36"/>
      <c r="C10" s="37"/>
      <c r="D10" s="37"/>
      <c r="E10" s="37"/>
      <c r="F10" s="37"/>
      <c r="G10" s="30"/>
      <c r="H10" s="34"/>
      <c r="I10" s="30"/>
      <c r="J10" s="30"/>
      <c r="K10" s="37"/>
      <c r="L10" s="30"/>
    </row>
    <row r="11" customFormat="false" ht="15" hidden="false" customHeight="false" outlineLevel="0" collapsed="false">
      <c r="B11" s="36"/>
      <c r="C11" s="37"/>
      <c r="D11" s="37"/>
      <c r="E11" s="37"/>
      <c r="F11" s="37"/>
      <c r="G11" s="30"/>
      <c r="H11" s="34"/>
      <c r="I11" s="30"/>
      <c r="J11" s="30"/>
      <c r="K11" s="37"/>
      <c r="L11" s="30"/>
    </row>
    <row r="12" customFormat="false" ht="15" hidden="false" customHeight="false" outlineLevel="0" collapsed="false">
      <c r="B12" s="36"/>
      <c r="C12" s="37"/>
      <c r="D12" s="37"/>
      <c r="E12" s="37"/>
      <c r="F12" s="37"/>
      <c r="G12" s="30"/>
      <c r="H12" s="34"/>
      <c r="I12" s="30"/>
      <c r="J12" s="30"/>
      <c r="K12" s="37"/>
      <c r="L12" s="30"/>
    </row>
    <row r="13" customFormat="false" ht="15" hidden="false" customHeight="false" outlineLevel="0" collapsed="false">
      <c r="B13" s="36"/>
      <c r="C13" s="37"/>
      <c r="D13" s="37"/>
      <c r="E13" s="37"/>
      <c r="F13" s="37"/>
      <c r="G13" s="30"/>
      <c r="H13" s="34"/>
      <c r="I13" s="30"/>
      <c r="J13" s="30"/>
      <c r="K13" s="37"/>
      <c r="L13" s="30"/>
    </row>
    <row r="14" customFormat="false" ht="15" hidden="false" customHeight="false" outlineLevel="0" collapsed="false">
      <c r="B14" s="36"/>
      <c r="C14" s="37"/>
      <c r="D14" s="37"/>
      <c r="E14" s="37"/>
      <c r="F14" s="37"/>
      <c r="G14" s="30"/>
      <c r="H14" s="34"/>
      <c r="I14" s="30"/>
      <c r="J14" s="30"/>
      <c r="K14" s="37"/>
      <c r="L14" s="30"/>
    </row>
    <row r="15" customFormat="false" ht="15" hidden="false" customHeight="false" outlineLevel="0" collapsed="false">
      <c r="B15" s="36"/>
      <c r="C15" s="37"/>
      <c r="D15" s="37"/>
      <c r="E15" s="37"/>
      <c r="F15" s="37"/>
      <c r="G15" s="30"/>
      <c r="H15" s="34"/>
      <c r="I15" s="30"/>
      <c r="J15" s="30"/>
      <c r="K15" s="37"/>
      <c r="L15" s="30"/>
    </row>
    <row r="16" customFormat="false" ht="15" hidden="false" customHeight="false" outlineLevel="0" collapsed="false">
      <c r="B16" s="36"/>
      <c r="C16" s="37"/>
      <c r="D16" s="37"/>
      <c r="E16" s="37"/>
      <c r="F16" s="37"/>
      <c r="G16" s="30"/>
      <c r="H16" s="34"/>
      <c r="I16" s="30"/>
      <c r="J16" s="30"/>
      <c r="K16" s="37"/>
      <c r="L16" s="30"/>
    </row>
    <row r="17" customFormat="false" ht="15" hidden="false" customHeight="false" outlineLevel="0" collapsed="false">
      <c r="B17" s="36"/>
      <c r="C17" s="37"/>
      <c r="D17" s="37"/>
      <c r="E17" s="37"/>
      <c r="F17" s="37"/>
      <c r="G17" s="30"/>
      <c r="H17" s="34"/>
      <c r="I17" s="30"/>
      <c r="J17" s="30"/>
      <c r="K17" s="37"/>
      <c r="L17" s="30"/>
    </row>
    <row r="18" customFormat="false" ht="15" hidden="false" customHeight="false" outlineLevel="0" collapsed="false">
      <c r="B18" s="36"/>
      <c r="C18" s="37"/>
      <c r="D18" s="37"/>
      <c r="E18" s="37"/>
      <c r="F18" s="37"/>
      <c r="G18" s="30"/>
      <c r="H18" s="34"/>
      <c r="I18" s="30"/>
      <c r="J18" s="30"/>
      <c r="K18" s="37"/>
      <c r="L18" s="30"/>
    </row>
    <row r="19" customFormat="false" ht="15" hidden="false" customHeight="false" outlineLevel="0" collapsed="false">
      <c r="B19" s="36"/>
      <c r="C19" s="37"/>
      <c r="D19" s="37"/>
      <c r="E19" s="37"/>
      <c r="F19" s="37"/>
      <c r="G19" s="30"/>
      <c r="H19" s="34"/>
      <c r="I19" s="30"/>
      <c r="J19" s="30"/>
      <c r="K19" s="37"/>
      <c r="L19" s="30"/>
    </row>
    <row r="20" customFormat="false" ht="15" hidden="false" customHeight="false" outlineLevel="0" collapsed="false">
      <c r="B20" s="36"/>
      <c r="C20" s="37"/>
      <c r="D20" s="37"/>
      <c r="E20" s="37"/>
      <c r="F20" s="37"/>
      <c r="G20" s="30"/>
      <c r="H20" s="34"/>
      <c r="I20" s="30"/>
      <c r="J20" s="30"/>
      <c r="K20" s="37"/>
      <c r="L20" s="30"/>
    </row>
    <row r="21" customFormat="false" ht="15" hidden="false" customHeight="false" outlineLevel="0" collapsed="false">
      <c r="B21" s="36"/>
      <c r="C21" s="37"/>
      <c r="D21" s="37"/>
      <c r="E21" s="37"/>
      <c r="F21" s="37"/>
      <c r="G21" s="30"/>
      <c r="H21" s="34"/>
      <c r="I21" s="30"/>
      <c r="J21" s="30"/>
      <c r="K21" s="37"/>
      <c r="L21" s="30"/>
    </row>
    <row r="22" customFormat="false" ht="15" hidden="false" customHeight="false" outlineLevel="0" collapsed="false">
      <c r="B22" s="36"/>
      <c r="C22" s="37"/>
      <c r="D22" s="37"/>
      <c r="E22" s="37"/>
      <c r="F22" s="37"/>
      <c r="G22" s="30"/>
      <c r="H22" s="34"/>
      <c r="I22" s="30"/>
      <c r="J22" s="30"/>
      <c r="K22" s="37"/>
      <c r="L22" s="30"/>
    </row>
    <row r="23" customFormat="false" ht="15" hidden="false" customHeight="false" outlineLevel="0" collapsed="false">
      <c r="B23" s="36"/>
      <c r="C23" s="37"/>
      <c r="D23" s="37"/>
      <c r="E23" s="37"/>
      <c r="F23" s="37"/>
      <c r="G23" s="30"/>
      <c r="H23" s="34"/>
      <c r="I23" s="30"/>
      <c r="J23" s="30"/>
      <c r="K23" s="37"/>
      <c r="L23" s="30"/>
    </row>
    <row r="24" customFormat="false" ht="15" hidden="false" customHeight="false" outlineLevel="0" collapsed="false">
      <c r="B24" s="36"/>
      <c r="C24" s="37"/>
      <c r="D24" s="37"/>
      <c r="E24" s="37"/>
      <c r="F24" s="37"/>
      <c r="G24" s="30"/>
      <c r="H24" s="34"/>
      <c r="I24" s="30"/>
      <c r="J24" s="30"/>
      <c r="K24" s="37"/>
      <c r="L24" s="30"/>
    </row>
    <row r="25" customFormat="false" ht="15" hidden="false" customHeight="false" outlineLevel="0" collapsed="false">
      <c r="B25" s="36"/>
      <c r="C25" s="37"/>
      <c r="D25" s="37"/>
      <c r="E25" s="37"/>
      <c r="F25" s="37"/>
      <c r="G25" s="30"/>
      <c r="H25" s="34"/>
      <c r="I25" s="30"/>
      <c r="J25" s="30"/>
      <c r="K25" s="37"/>
      <c r="L25" s="30"/>
    </row>
    <row r="26" customFormat="false" ht="15" hidden="false" customHeight="false" outlineLevel="0" collapsed="false">
      <c r="B26" s="36"/>
      <c r="C26" s="37"/>
      <c r="D26" s="37"/>
      <c r="E26" s="37"/>
      <c r="F26" s="37"/>
      <c r="G26" s="30"/>
      <c r="H26" s="34"/>
      <c r="I26" s="30"/>
      <c r="J26" s="30"/>
      <c r="K26" s="37"/>
      <c r="L26" s="30"/>
    </row>
    <row r="27" customFormat="false" ht="15" hidden="false" customHeight="false" outlineLevel="0" collapsed="false">
      <c r="B27" s="36"/>
      <c r="C27" s="37"/>
      <c r="D27" s="37"/>
      <c r="E27" s="37"/>
      <c r="F27" s="37"/>
      <c r="G27" s="30"/>
      <c r="H27" s="34"/>
      <c r="I27" s="30"/>
      <c r="J27" s="30"/>
      <c r="K27" s="37"/>
      <c r="L27" s="30"/>
    </row>
    <row r="28" customFormat="false" ht="15" hidden="false" customHeight="false" outlineLevel="0" collapsed="false">
      <c r="B28" s="36"/>
      <c r="C28" s="37"/>
      <c r="D28" s="37"/>
      <c r="E28" s="37"/>
      <c r="F28" s="37"/>
      <c r="G28" s="30"/>
      <c r="H28" s="34"/>
      <c r="I28" s="30"/>
      <c r="J28" s="30"/>
      <c r="K28" s="37"/>
      <c r="L28" s="30"/>
    </row>
    <row r="29" customFormat="false" ht="15" hidden="false" customHeight="false" outlineLevel="0" collapsed="false">
      <c r="B29" s="36"/>
      <c r="C29" s="37"/>
      <c r="D29" s="37"/>
      <c r="E29" s="37"/>
      <c r="F29" s="37"/>
      <c r="G29" s="30"/>
      <c r="H29" s="34"/>
      <c r="I29" s="30"/>
      <c r="J29" s="30"/>
      <c r="K29" s="37"/>
      <c r="L29" s="30"/>
    </row>
    <row r="30" customFormat="false" ht="15" hidden="false" customHeight="false" outlineLevel="0" collapsed="false">
      <c r="B30" s="36"/>
      <c r="C30" s="37"/>
      <c r="D30" s="37"/>
      <c r="E30" s="37"/>
      <c r="F30" s="37"/>
      <c r="G30" s="30"/>
      <c r="H30" s="34"/>
      <c r="I30" s="30"/>
      <c r="J30" s="30"/>
      <c r="K30" s="37"/>
      <c r="L30" s="30"/>
    </row>
    <row r="31" customFormat="false" ht="15" hidden="false" customHeight="false" outlineLevel="0" collapsed="false">
      <c r="B31" s="36"/>
      <c r="C31" s="37"/>
      <c r="D31" s="37"/>
      <c r="E31" s="37"/>
      <c r="F31" s="37"/>
      <c r="G31" s="30"/>
      <c r="H31" s="34"/>
      <c r="I31" s="30"/>
      <c r="J31" s="30"/>
      <c r="K31" s="37"/>
      <c r="L31" s="30"/>
    </row>
    <row r="32" customFormat="false" ht="15" hidden="false" customHeight="false" outlineLevel="0" collapsed="false">
      <c r="B32" s="36"/>
      <c r="C32" s="37"/>
      <c r="D32" s="37"/>
      <c r="E32" s="37"/>
      <c r="F32" s="37"/>
      <c r="G32" s="30"/>
      <c r="H32" s="34"/>
      <c r="I32" s="30"/>
      <c r="J32" s="30"/>
      <c r="K32" s="37"/>
      <c r="L32" s="30"/>
    </row>
    <row r="33" customFormat="false" ht="15" hidden="false" customHeight="false" outlineLevel="0" collapsed="false">
      <c r="B33" s="36"/>
      <c r="C33" s="37"/>
      <c r="D33" s="37"/>
      <c r="E33" s="37"/>
      <c r="F33" s="37"/>
      <c r="G33" s="30"/>
      <c r="H33" s="34"/>
      <c r="I33" s="30"/>
      <c r="J33" s="30"/>
      <c r="K33" s="37"/>
      <c r="L33" s="30"/>
    </row>
    <row r="34" customFormat="false" ht="15" hidden="false" customHeight="false" outlineLevel="0" collapsed="false">
      <c r="B34" s="36"/>
      <c r="C34" s="37"/>
      <c r="D34" s="37"/>
      <c r="E34" s="37"/>
      <c r="F34" s="37"/>
      <c r="G34" s="30"/>
      <c r="H34" s="34"/>
      <c r="I34" s="30"/>
      <c r="J34" s="30"/>
      <c r="K34" s="37"/>
      <c r="L34" s="30"/>
    </row>
    <row r="35" customFormat="false" ht="15" hidden="false" customHeight="false" outlineLevel="0" collapsed="false">
      <c r="B35" s="36"/>
      <c r="C35" s="37"/>
      <c r="D35" s="37"/>
      <c r="E35" s="37"/>
      <c r="F35" s="37"/>
      <c r="G35" s="30"/>
      <c r="H35" s="34"/>
      <c r="I35" s="30"/>
      <c r="J35" s="30"/>
      <c r="K35" s="37"/>
      <c r="L35" s="30"/>
    </row>
    <row r="36" customFormat="false" ht="15" hidden="false" customHeight="false" outlineLevel="0" collapsed="false">
      <c r="B36" s="36"/>
      <c r="C36" s="37"/>
      <c r="D36" s="37"/>
      <c r="E36" s="37"/>
      <c r="F36" s="37"/>
      <c r="G36" s="30"/>
      <c r="H36" s="34"/>
      <c r="I36" s="30"/>
      <c r="J36" s="30"/>
      <c r="K36" s="37"/>
      <c r="L36" s="30"/>
    </row>
    <row r="37" customFormat="false" ht="15" hidden="false" customHeight="false" outlineLevel="0" collapsed="false">
      <c r="B37" s="36"/>
      <c r="C37" s="37"/>
      <c r="D37" s="37"/>
      <c r="E37" s="37"/>
      <c r="F37" s="37"/>
      <c r="G37" s="30"/>
      <c r="H37" s="34"/>
      <c r="I37" s="30"/>
      <c r="J37" s="30"/>
      <c r="K37" s="37"/>
      <c r="L37" s="30"/>
    </row>
    <row r="38" customFormat="false" ht="15" hidden="false" customHeight="false" outlineLevel="0" collapsed="false">
      <c r="B38" s="36"/>
      <c r="C38" s="37"/>
      <c r="D38" s="37"/>
      <c r="E38" s="37"/>
      <c r="F38" s="37"/>
      <c r="G38" s="30"/>
      <c r="H38" s="34"/>
      <c r="I38" s="30"/>
      <c r="J38" s="30"/>
      <c r="K38" s="37"/>
      <c r="L38" s="30"/>
    </row>
    <row r="39" customFormat="false" ht="15" hidden="false" customHeight="false" outlineLevel="0" collapsed="false">
      <c r="B39" s="36"/>
      <c r="C39" s="37"/>
      <c r="D39" s="37"/>
      <c r="E39" s="37"/>
      <c r="F39" s="37"/>
      <c r="G39" s="30"/>
      <c r="H39" s="34"/>
      <c r="I39" s="30"/>
      <c r="J39" s="30"/>
      <c r="K39" s="37"/>
      <c r="L39" s="30"/>
    </row>
    <row r="40" customFormat="false" ht="15" hidden="false" customHeight="false" outlineLevel="0" collapsed="false">
      <c r="B40" s="36"/>
      <c r="C40" s="37"/>
      <c r="D40" s="37"/>
      <c r="E40" s="37"/>
      <c r="F40" s="37"/>
      <c r="G40" s="30"/>
      <c r="H40" s="34"/>
      <c r="I40" s="30"/>
      <c r="J40" s="30"/>
      <c r="K40" s="37"/>
      <c r="L40" s="30"/>
    </row>
    <row r="41" customFormat="false" ht="15" hidden="false" customHeight="false" outlineLevel="0" collapsed="false">
      <c r="B41" s="36"/>
      <c r="C41" s="37"/>
      <c r="D41" s="37"/>
      <c r="E41" s="37"/>
      <c r="F41" s="37"/>
      <c r="G41" s="30"/>
      <c r="H41" s="34"/>
      <c r="I41" s="30"/>
      <c r="J41" s="30"/>
      <c r="K41" s="37"/>
      <c r="L41" s="30"/>
    </row>
    <row r="42" customFormat="false" ht="15" hidden="false" customHeight="false" outlineLevel="0" collapsed="false">
      <c r="B42" s="36"/>
      <c r="C42" s="37"/>
      <c r="D42" s="37"/>
      <c r="E42" s="37"/>
      <c r="F42" s="37"/>
      <c r="G42" s="30"/>
      <c r="H42" s="34"/>
      <c r="I42" s="30"/>
      <c r="J42" s="30"/>
      <c r="K42" s="37"/>
      <c r="L42" s="30"/>
    </row>
    <row r="43" customFormat="false" ht="15" hidden="false" customHeight="false" outlineLevel="0" collapsed="false">
      <c r="B43" s="36"/>
      <c r="C43" s="37"/>
      <c r="D43" s="37"/>
      <c r="E43" s="37"/>
      <c r="F43" s="37"/>
      <c r="G43" s="30"/>
      <c r="H43" s="34"/>
      <c r="I43" s="30"/>
      <c r="J43" s="30"/>
      <c r="K43" s="37"/>
      <c r="L43" s="30"/>
    </row>
    <row r="44" customFormat="false" ht="15" hidden="false" customHeight="false" outlineLevel="0" collapsed="false">
      <c r="B44" s="36"/>
      <c r="C44" s="37"/>
      <c r="D44" s="37"/>
      <c r="E44" s="37"/>
      <c r="F44" s="37"/>
      <c r="G44" s="30"/>
      <c r="H44" s="34"/>
      <c r="I44" s="30"/>
      <c r="J44" s="30"/>
      <c r="K44" s="37"/>
      <c r="L44" s="30"/>
    </row>
    <row r="45" customFormat="false" ht="15" hidden="false" customHeight="false" outlineLevel="0" collapsed="false">
      <c r="B45" s="36"/>
      <c r="C45" s="37"/>
      <c r="D45" s="37"/>
      <c r="E45" s="37"/>
      <c r="F45" s="37"/>
      <c r="G45" s="30"/>
      <c r="H45" s="34"/>
      <c r="I45" s="30"/>
      <c r="J45" s="30"/>
      <c r="K45" s="37"/>
      <c r="L45" s="30"/>
    </row>
    <row r="46" customFormat="false" ht="15" hidden="false" customHeight="false" outlineLevel="0" collapsed="false">
      <c r="B46" s="36"/>
      <c r="C46" s="37"/>
      <c r="D46" s="37"/>
      <c r="E46" s="37"/>
      <c r="F46" s="37"/>
      <c r="G46" s="30"/>
      <c r="H46" s="34"/>
      <c r="I46" s="30"/>
      <c r="J46" s="30"/>
      <c r="K46" s="37"/>
      <c r="L46" s="30"/>
    </row>
    <row r="47" customFormat="false" ht="15" hidden="false" customHeight="false" outlineLevel="0" collapsed="false">
      <c r="B47" s="36"/>
      <c r="C47" s="37"/>
      <c r="D47" s="37"/>
      <c r="E47" s="37"/>
      <c r="F47" s="37"/>
      <c r="G47" s="30"/>
      <c r="H47" s="34"/>
      <c r="I47" s="30"/>
      <c r="J47" s="30"/>
      <c r="K47" s="37"/>
      <c r="L47" s="30"/>
    </row>
    <row r="48" customFormat="false" ht="15" hidden="false" customHeight="false" outlineLevel="0" collapsed="false">
      <c r="B48" s="36"/>
      <c r="C48" s="37"/>
      <c r="D48" s="37"/>
      <c r="E48" s="37"/>
      <c r="F48" s="37"/>
      <c r="G48" s="30"/>
      <c r="H48" s="34"/>
      <c r="I48" s="30"/>
      <c r="J48" s="30"/>
      <c r="K48" s="37"/>
      <c r="L48" s="30"/>
    </row>
    <row r="49" customFormat="false" ht="15" hidden="false" customHeight="false" outlineLevel="0" collapsed="false">
      <c r="B49" s="36"/>
      <c r="C49" s="37"/>
      <c r="D49" s="37"/>
      <c r="E49" s="37"/>
      <c r="F49" s="37"/>
      <c r="G49" s="30"/>
      <c r="H49" s="34"/>
      <c r="I49" s="30"/>
      <c r="J49" s="30"/>
      <c r="K49" s="37"/>
      <c r="L49" s="30"/>
    </row>
    <row r="50" customFormat="false" ht="15" hidden="false" customHeight="false" outlineLevel="0" collapsed="false">
      <c r="B50" s="36"/>
      <c r="C50" s="37"/>
      <c r="D50" s="37"/>
      <c r="E50" s="37"/>
      <c r="F50" s="37"/>
      <c r="G50" s="30"/>
      <c r="H50" s="34"/>
      <c r="I50" s="30"/>
      <c r="J50" s="30"/>
      <c r="K50" s="37"/>
      <c r="L50" s="30"/>
    </row>
    <row r="51" customFormat="false" ht="15" hidden="false" customHeight="false" outlineLevel="0" collapsed="false">
      <c r="B51" s="36"/>
      <c r="C51" s="37"/>
      <c r="D51" s="37"/>
      <c r="E51" s="37"/>
      <c r="F51" s="37"/>
      <c r="G51" s="30"/>
      <c r="H51" s="34"/>
      <c r="I51" s="30"/>
      <c r="J51" s="30"/>
      <c r="K51" s="37"/>
      <c r="L51" s="30"/>
    </row>
    <row r="52" customFormat="false" ht="15" hidden="false" customHeight="false" outlineLevel="0" collapsed="false">
      <c r="B52" s="36"/>
      <c r="C52" s="37"/>
      <c r="D52" s="37"/>
      <c r="E52" s="37"/>
      <c r="F52" s="37"/>
      <c r="G52" s="30"/>
      <c r="H52" s="34"/>
      <c r="I52" s="30"/>
      <c r="J52" s="30"/>
      <c r="K52" s="37"/>
      <c r="L52" s="30"/>
    </row>
    <row r="53" customFormat="false" ht="15" hidden="false" customHeight="false" outlineLevel="0" collapsed="false">
      <c r="B53" s="36"/>
      <c r="C53" s="37"/>
      <c r="D53" s="37"/>
      <c r="E53" s="37"/>
      <c r="F53" s="37"/>
      <c r="G53" s="30"/>
      <c r="H53" s="34"/>
      <c r="I53" s="30"/>
      <c r="J53" s="30"/>
      <c r="K53" s="37"/>
      <c r="L53" s="30"/>
    </row>
    <row r="54" customFormat="false" ht="15" hidden="false" customHeight="false" outlineLevel="0" collapsed="false">
      <c r="B54" s="36"/>
      <c r="C54" s="37"/>
      <c r="D54" s="37"/>
      <c r="E54" s="37"/>
      <c r="F54" s="37"/>
      <c r="G54" s="30"/>
      <c r="H54" s="34"/>
      <c r="I54" s="30"/>
      <c r="J54" s="30"/>
      <c r="K54" s="37"/>
      <c r="L54" s="30"/>
    </row>
    <row r="55" customFormat="false" ht="15" hidden="false" customHeight="false" outlineLevel="0" collapsed="false">
      <c r="B55" s="36"/>
      <c r="C55" s="37"/>
      <c r="D55" s="37"/>
      <c r="E55" s="37"/>
      <c r="F55" s="37"/>
      <c r="G55" s="30"/>
      <c r="H55" s="34"/>
      <c r="I55" s="30"/>
      <c r="J55" s="30"/>
      <c r="K55" s="37"/>
      <c r="L55" s="30"/>
    </row>
    <row r="56" customFormat="false" ht="15" hidden="false" customHeight="false" outlineLevel="0" collapsed="false">
      <c r="B56" s="36"/>
      <c r="C56" s="37"/>
      <c r="D56" s="37"/>
      <c r="E56" s="37"/>
      <c r="F56" s="37"/>
      <c r="G56" s="30"/>
      <c r="H56" s="34"/>
      <c r="I56" s="30"/>
      <c r="J56" s="30"/>
      <c r="K56" s="37"/>
      <c r="L56" s="30"/>
    </row>
    <row r="57" customFormat="false" ht="15" hidden="false" customHeight="false" outlineLevel="0" collapsed="false">
      <c r="B57" s="36"/>
      <c r="C57" s="37"/>
      <c r="D57" s="37"/>
      <c r="E57" s="37"/>
      <c r="F57" s="37"/>
      <c r="G57" s="30"/>
      <c r="H57" s="34"/>
      <c r="I57" s="30"/>
      <c r="J57" s="30"/>
      <c r="K57" s="37"/>
      <c r="L57" s="30"/>
    </row>
    <row r="58" customFormat="false" ht="15" hidden="false" customHeight="false" outlineLevel="0" collapsed="false">
      <c r="B58" s="36"/>
      <c r="C58" s="37"/>
      <c r="D58" s="37"/>
      <c r="E58" s="37"/>
      <c r="F58" s="37"/>
      <c r="G58" s="30"/>
      <c r="H58" s="34"/>
      <c r="I58" s="30"/>
      <c r="J58" s="30"/>
      <c r="K58" s="37"/>
      <c r="L58" s="30"/>
    </row>
    <row r="59" customFormat="false" ht="15" hidden="false" customHeight="false" outlineLevel="0" collapsed="false">
      <c r="B59" s="36"/>
      <c r="C59" s="37"/>
      <c r="D59" s="37"/>
      <c r="E59" s="37"/>
      <c r="F59" s="37"/>
      <c r="G59" s="30"/>
      <c r="H59" s="34"/>
      <c r="I59" s="30"/>
      <c r="J59" s="30"/>
      <c r="K59" s="37"/>
      <c r="L59" s="30"/>
    </row>
    <row r="60" customFormat="false" ht="15" hidden="false" customHeight="false" outlineLevel="0" collapsed="false">
      <c r="B60" s="36"/>
      <c r="C60" s="37"/>
      <c r="D60" s="37"/>
      <c r="E60" s="37"/>
      <c r="F60" s="37"/>
      <c r="G60" s="30"/>
      <c r="H60" s="34"/>
      <c r="I60" s="30"/>
      <c r="J60" s="30"/>
      <c r="K60" s="37"/>
      <c r="L60" s="30"/>
    </row>
    <row r="61" customFormat="false" ht="15" hidden="false" customHeight="false" outlineLevel="0" collapsed="false">
      <c r="B61" s="36"/>
      <c r="C61" s="37"/>
      <c r="D61" s="37"/>
      <c r="E61" s="37"/>
      <c r="F61" s="37"/>
      <c r="G61" s="30"/>
      <c r="H61" s="34"/>
      <c r="I61" s="30"/>
      <c r="J61" s="30"/>
      <c r="K61" s="37"/>
      <c r="L61" s="30"/>
    </row>
    <row r="62" customFormat="false" ht="15" hidden="false" customHeight="false" outlineLevel="0" collapsed="false">
      <c r="B62" s="36"/>
      <c r="C62" s="37"/>
      <c r="D62" s="37"/>
      <c r="E62" s="37"/>
      <c r="F62" s="37"/>
      <c r="G62" s="30"/>
      <c r="H62" s="34"/>
      <c r="I62" s="30"/>
      <c r="J62" s="30"/>
      <c r="K62" s="37"/>
      <c r="L62" s="30"/>
    </row>
    <row r="63" customFormat="false" ht="15" hidden="false" customHeight="false" outlineLevel="0" collapsed="false">
      <c r="B63" s="36"/>
      <c r="C63" s="37"/>
      <c r="D63" s="37"/>
      <c r="E63" s="37"/>
      <c r="F63" s="37"/>
      <c r="G63" s="30"/>
      <c r="H63" s="34"/>
      <c r="I63" s="30"/>
      <c r="J63" s="30"/>
      <c r="K63" s="37"/>
      <c r="L63" s="30"/>
    </row>
    <row r="64" customFormat="false" ht="15" hidden="false" customHeight="false" outlineLevel="0" collapsed="false">
      <c r="B64" s="36"/>
      <c r="C64" s="37"/>
      <c r="D64" s="37"/>
      <c r="E64" s="37"/>
      <c r="F64" s="37"/>
      <c r="G64" s="30"/>
      <c r="H64" s="34"/>
      <c r="I64" s="30"/>
      <c r="J64" s="30"/>
      <c r="K64" s="37"/>
      <c r="L64" s="30"/>
    </row>
    <row r="65" customFormat="false" ht="15" hidden="false" customHeight="false" outlineLevel="0" collapsed="false">
      <c r="B65" s="36"/>
      <c r="C65" s="37"/>
      <c r="D65" s="37"/>
      <c r="E65" s="37"/>
      <c r="F65" s="37"/>
      <c r="G65" s="30"/>
      <c r="H65" s="34"/>
      <c r="I65" s="30"/>
      <c r="J65" s="30"/>
      <c r="K65" s="37"/>
      <c r="L65" s="30"/>
    </row>
    <row r="66" customFormat="false" ht="15" hidden="false" customHeight="false" outlineLevel="0" collapsed="false">
      <c r="B66" s="36"/>
      <c r="C66" s="37"/>
      <c r="D66" s="37"/>
      <c r="E66" s="37"/>
      <c r="F66" s="37"/>
      <c r="G66" s="30"/>
      <c r="H66" s="34"/>
      <c r="I66" s="30"/>
      <c r="J66" s="30"/>
      <c r="K66" s="37"/>
      <c r="L66" s="30"/>
    </row>
    <row r="67" customFormat="false" ht="15" hidden="false" customHeight="false" outlineLevel="0" collapsed="false">
      <c r="B67" s="36"/>
      <c r="C67" s="37"/>
      <c r="D67" s="37"/>
      <c r="E67" s="37"/>
      <c r="F67" s="37"/>
      <c r="G67" s="30"/>
      <c r="H67" s="34"/>
      <c r="I67" s="30"/>
      <c r="J67" s="30"/>
      <c r="K67" s="37"/>
      <c r="L67" s="30"/>
    </row>
    <row r="68" customFormat="false" ht="15" hidden="false" customHeight="false" outlineLevel="0" collapsed="false">
      <c r="B68" s="36"/>
      <c r="C68" s="37"/>
      <c r="D68" s="37"/>
      <c r="E68" s="37"/>
      <c r="F68" s="37"/>
      <c r="G68" s="30"/>
      <c r="H68" s="34"/>
      <c r="I68" s="30"/>
      <c r="J68" s="30"/>
      <c r="K68" s="37"/>
      <c r="L68" s="30"/>
    </row>
    <row r="69" customFormat="false" ht="15" hidden="false" customHeight="false" outlineLevel="0" collapsed="false">
      <c r="B69" s="36"/>
      <c r="C69" s="37"/>
      <c r="D69" s="37"/>
      <c r="E69" s="37"/>
      <c r="F69" s="37"/>
      <c r="G69" s="30"/>
      <c r="H69" s="34"/>
      <c r="I69" s="30"/>
      <c r="J69" s="30"/>
      <c r="K69" s="37"/>
      <c r="L69" s="30"/>
    </row>
    <row r="70" customFormat="false" ht="15" hidden="false" customHeight="false" outlineLevel="0" collapsed="false">
      <c r="B70" s="36"/>
      <c r="C70" s="37"/>
      <c r="D70" s="37"/>
      <c r="E70" s="37"/>
      <c r="F70" s="37"/>
      <c r="G70" s="30"/>
      <c r="H70" s="34"/>
      <c r="I70" s="30"/>
      <c r="J70" s="30"/>
      <c r="K70" s="37"/>
      <c r="L70" s="30"/>
    </row>
    <row r="71" customFormat="false" ht="15" hidden="false" customHeight="false" outlineLevel="0" collapsed="false">
      <c r="B71" s="36"/>
      <c r="C71" s="37"/>
      <c r="D71" s="37"/>
      <c r="E71" s="37"/>
      <c r="F71" s="37"/>
      <c r="G71" s="30"/>
      <c r="H71" s="34"/>
      <c r="I71" s="30"/>
      <c r="J71" s="30"/>
      <c r="K71" s="37"/>
      <c r="L71" s="30"/>
    </row>
    <row r="72" customFormat="false" ht="15" hidden="false" customHeight="false" outlineLevel="0" collapsed="false">
      <c r="B72" s="36"/>
      <c r="C72" s="37"/>
      <c r="D72" s="37"/>
      <c r="E72" s="37"/>
      <c r="F72" s="37"/>
      <c r="G72" s="30"/>
      <c r="H72" s="34"/>
      <c r="I72" s="30"/>
      <c r="J72" s="30"/>
      <c r="K72" s="37"/>
      <c r="L72" s="30"/>
    </row>
    <row r="73" customFormat="false" ht="15" hidden="false" customHeight="false" outlineLevel="0" collapsed="false">
      <c r="B73" s="36"/>
      <c r="C73" s="37"/>
      <c r="D73" s="37"/>
      <c r="E73" s="37"/>
      <c r="F73" s="37"/>
      <c r="G73" s="30"/>
      <c r="H73" s="34"/>
      <c r="I73" s="30"/>
      <c r="J73" s="30"/>
      <c r="K73" s="37"/>
      <c r="L73" s="30"/>
    </row>
    <row r="74" customFormat="false" ht="15" hidden="false" customHeight="false" outlineLevel="0" collapsed="false">
      <c r="B74" s="36"/>
      <c r="C74" s="37"/>
      <c r="D74" s="37"/>
      <c r="E74" s="37"/>
      <c r="F74" s="37"/>
      <c r="G74" s="30"/>
      <c r="H74" s="34"/>
      <c r="I74" s="30"/>
      <c r="J74" s="30"/>
      <c r="K74" s="37"/>
      <c r="L74" s="30"/>
    </row>
    <row r="75" customFormat="false" ht="15" hidden="false" customHeight="false" outlineLevel="0" collapsed="false">
      <c r="B75" s="36"/>
      <c r="C75" s="37"/>
      <c r="D75" s="37"/>
      <c r="E75" s="37"/>
      <c r="F75" s="37"/>
      <c r="G75" s="30"/>
      <c r="H75" s="34"/>
      <c r="I75" s="30"/>
      <c r="J75" s="30"/>
      <c r="K75" s="37"/>
      <c r="L75" s="30"/>
    </row>
    <row r="76" customFormat="false" ht="15" hidden="false" customHeight="false" outlineLevel="0" collapsed="false">
      <c r="B76" s="36"/>
      <c r="C76" s="37"/>
      <c r="D76" s="37"/>
      <c r="E76" s="37"/>
      <c r="F76" s="37"/>
      <c r="G76" s="30"/>
      <c r="H76" s="34"/>
      <c r="I76" s="30"/>
      <c r="J76" s="30"/>
      <c r="K76" s="37"/>
      <c r="L76" s="30"/>
    </row>
    <row r="77" customFormat="false" ht="15" hidden="false" customHeight="false" outlineLevel="0" collapsed="false">
      <c r="B77" s="36"/>
      <c r="C77" s="37"/>
      <c r="D77" s="37"/>
      <c r="E77" s="37"/>
      <c r="F77" s="37"/>
      <c r="G77" s="30"/>
      <c r="H77" s="34"/>
      <c r="I77" s="30"/>
      <c r="J77" s="30"/>
      <c r="K77" s="37"/>
      <c r="L77" s="30"/>
    </row>
    <row r="78" customFormat="false" ht="15" hidden="false" customHeight="false" outlineLevel="0" collapsed="false">
      <c r="B78" s="36"/>
      <c r="C78" s="37"/>
      <c r="D78" s="37"/>
      <c r="E78" s="37"/>
      <c r="F78" s="37"/>
      <c r="G78" s="30"/>
      <c r="H78" s="34"/>
      <c r="I78" s="30"/>
      <c r="J78" s="30"/>
      <c r="K78" s="37"/>
      <c r="L78" s="30"/>
    </row>
    <row r="79" customFormat="false" ht="15" hidden="false" customHeight="false" outlineLevel="0" collapsed="false">
      <c r="B79" s="36"/>
      <c r="C79" s="37"/>
      <c r="D79" s="37"/>
      <c r="E79" s="37"/>
      <c r="F79" s="37"/>
      <c r="G79" s="30"/>
      <c r="H79" s="34"/>
      <c r="I79" s="30"/>
      <c r="J79" s="30"/>
      <c r="K79" s="37"/>
      <c r="L79" s="30"/>
    </row>
    <row r="80" customFormat="false" ht="15" hidden="false" customHeight="false" outlineLevel="0" collapsed="false">
      <c r="B80" s="36"/>
      <c r="C80" s="37"/>
      <c r="D80" s="37"/>
      <c r="E80" s="37"/>
      <c r="F80" s="37"/>
      <c r="G80" s="30"/>
      <c r="H80" s="34"/>
      <c r="I80" s="30"/>
      <c r="J80" s="30"/>
      <c r="K80" s="37"/>
      <c r="L80" s="30"/>
    </row>
    <row r="81" customFormat="false" ht="15" hidden="false" customHeight="false" outlineLevel="0" collapsed="false">
      <c r="B81" s="36"/>
      <c r="C81" s="37"/>
      <c r="D81" s="37"/>
      <c r="E81" s="37"/>
      <c r="F81" s="37"/>
      <c r="G81" s="30"/>
      <c r="H81" s="34"/>
      <c r="I81" s="30"/>
      <c r="J81" s="30"/>
      <c r="K81" s="37"/>
      <c r="L81" s="30"/>
    </row>
    <row r="82" customFormat="false" ht="15" hidden="false" customHeight="false" outlineLevel="0" collapsed="false">
      <c r="B82" s="36"/>
      <c r="C82" s="37"/>
      <c r="D82" s="37"/>
      <c r="E82" s="37"/>
      <c r="F82" s="37"/>
      <c r="G82" s="30"/>
      <c r="H82" s="34"/>
      <c r="I82" s="30"/>
      <c r="J82" s="30"/>
      <c r="K82" s="37"/>
      <c r="L82" s="30"/>
    </row>
    <row r="83" customFormat="false" ht="15" hidden="false" customHeight="false" outlineLevel="0" collapsed="false">
      <c r="B83" s="36"/>
      <c r="C83" s="37"/>
      <c r="D83" s="37"/>
      <c r="E83" s="37"/>
      <c r="F83" s="37"/>
      <c r="G83" s="30"/>
      <c r="H83" s="34"/>
      <c r="I83" s="30"/>
      <c r="J83" s="30"/>
      <c r="K83" s="37"/>
      <c r="L83" s="30"/>
    </row>
    <row r="84" customFormat="false" ht="15" hidden="false" customHeight="false" outlineLevel="0" collapsed="false">
      <c r="B84" s="36"/>
      <c r="C84" s="37"/>
      <c r="D84" s="37"/>
      <c r="E84" s="37"/>
      <c r="F84" s="37"/>
      <c r="G84" s="30"/>
      <c r="H84" s="34"/>
      <c r="I84" s="30"/>
      <c r="J84" s="30"/>
      <c r="K84" s="37"/>
      <c r="L84" s="30"/>
    </row>
    <row r="85" customFormat="false" ht="15" hidden="false" customHeight="false" outlineLevel="0" collapsed="false">
      <c r="B85" s="36"/>
      <c r="C85" s="37"/>
      <c r="D85" s="37"/>
      <c r="E85" s="37"/>
      <c r="F85" s="37"/>
      <c r="G85" s="30"/>
      <c r="H85" s="34"/>
      <c r="I85" s="30"/>
      <c r="J85" s="30"/>
      <c r="K85" s="37"/>
      <c r="L85" s="30"/>
    </row>
    <row r="86" customFormat="false" ht="15" hidden="false" customHeight="false" outlineLevel="0" collapsed="false">
      <c r="B86" s="36"/>
      <c r="C86" s="37"/>
      <c r="D86" s="37"/>
      <c r="E86" s="37"/>
      <c r="F86" s="37"/>
      <c r="G86" s="30"/>
      <c r="H86" s="34"/>
      <c r="I86" s="30"/>
      <c r="J86" s="30"/>
      <c r="K86" s="37"/>
      <c r="L86" s="30"/>
    </row>
    <row r="87" customFormat="false" ht="15" hidden="false" customHeight="false" outlineLevel="0" collapsed="false">
      <c r="B87" s="36"/>
      <c r="C87" s="37"/>
      <c r="D87" s="37"/>
      <c r="E87" s="37"/>
      <c r="F87" s="37"/>
      <c r="G87" s="30"/>
      <c r="H87" s="34"/>
      <c r="I87" s="30"/>
      <c r="J87" s="30"/>
      <c r="K87" s="37"/>
      <c r="L87" s="30"/>
    </row>
    <row r="88" customFormat="false" ht="15" hidden="false" customHeight="false" outlineLevel="0" collapsed="false">
      <c r="B88" s="36"/>
      <c r="C88" s="37"/>
      <c r="D88" s="37"/>
      <c r="E88" s="37"/>
      <c r="F88" s="37"/>
      <c r="G88" s="30"/>
      <c r="H88" s="34"/>
      <c r="I88" s="30"/>
      <c r="J88" s="30"/>
      <c r="K88" s="37"/>
      <c r="L88" s="30"/>
    </row>
    <row r="89" customFormat="false" ht="15" hidden="false" customHeight="false" outlineLevel="0" collapsed="false">
      <c r="B89" s="36"/>
      <c r="C89" s="37"/>
      <c r="D89" s="37"/>
      <c r="E89" s="37"/>
      <c r="F89" s="37"/>
      <c r="G89" s="30"/>
      <c r="H89" s="34"/>
      <c r="I89" s="30"/>
      <c r="J89" s="30"/>
      <c r="K89" s="37"/>
      <c r="L89" s="30"/>
    </row>
    <row r="90" customFormat="false" ht="15" hidden="false" customHeight="false" outlineLevel="0" collapsed="false">
      <c r="B90" s="36"/>
      <c r="C90" s="37"/>
      <c r="D90" s="37"/>
      <c r="E90" s="37"/>
      <c r="F90" s="37"/>
      <c r="G90" s="30"/>
      <c r="H90" s="34"/>
      <c r="I90" s="30"/>
      <c r="J90" s="30"/>
      <c r="K90" s="37"/>
      <c r="L90" s="30"/>
    </row>
    <row r="91" customFormat="false" ht="15" hidden="false" customHeight="false" outlineLevel="0" collapsed="false">
      <c r="B91" s="36"/>
      <c r="C91" s="37"/>
      <c r="D91" s="37"/>
      <c r="E91" s="37"/>
      <c r="F91" s="37"/>
      <c r="G91" s="30"/>
      <c r="H91" s="34"/>
      <c r="I91" s="30"/>
      <c r="J91" s="30"/>
      <c r="K91" s="37"/>
      <c r="L91" s="30"/>
    </row>
    <row r="92" customFormat="false" ht="15" hidden="false" customHeight="false" outlineLevel="0" collapsed="false">
      <c r="B92" s="36"/>
      <c r="C92" s="37"/>
      <c r="D92" s="37"/>
      <c r="E92" s="37"/>
      <c r="F92" s="37"/>
      <c r="G92" s="30"/>
      <c r="H92" s="34"/>
      <c r="I92" s="30"/>
      <c r="J92" s="30"/>
      <c r="K92" s="37"/>
      <c r="L92" s="30"/>
    </row>
    <row r="93" customFormat="false" ht="15" hidden="false" customHeight="false" outlineLevel="0" collapsed="false">
      <c r="B93" s="36"/>
      <c r="C93" s="37"/>
      <c r="D93" s="37"/>
      <c r="E93" s="37"/>
      <c r="F93" s="37"/>
      <c r="G93" s="30"/>
      <c r="H93" s="34"/>
      <c r="I93" s="30"/>
      <c r="J93" s="30"/>
      <c r="K93" s="37"/>
      <c r="L93" s="30"/>
    </row>
    <row r="94" customFormat="false" ht="15" hidden="false" customHeight="false" outlineLevel="0" collapsed="false">
      <c r="B94" s="36"/>
      <c r="C94" s="37"/>
      <c r="D94" s="37"/>
      <c r="E94" s="37"/>
      <c r="F94" s="37"/>
      <c r="G94" s="30"/>
      <c r="H94" s="34"/>
      <c r="I94" s="30"/>
      <c r="J94" s="30"/>
      <c r="K94" s="37"/>
      <c r="L94" s="30"/>
    </row>
    <row r="95" customFormat="false" ht="15" hidden="false" customHeight="false" outlineLevel="0" collapsed="false">
      <c r="B95" s="36"/>
      <c r="C95" s="37"/>
      <c r="D95" s="37"/>
      <c r="E95" s="37"/>
      <c r="F95" s="37"/>
      <c r="G95" s="30"/>
      <c r="H95" s="34"/>
      <c r="I95" s="30"/>
      <c r="J95" s="30"/>
      <c r="K95" s="37"/>
      <c r="L95" s="30"/>
    </row>
    <row r="96" customFormat="false" ht="15" hidden="false" customHeight="false" outlineLevel="0" collapsed="false">
      <c r="B96" s="36"/>
      <c r="C96" s="37"/>
      <c r="D96" s="37"/>
      <c r="E96" s="37"/>
      <c r="F96" s="37"/>
      <c r="G96" s="30"/>
      <c r="H96" s="34"/>
      <c r="I96" s="30"/>
      <c r="J96" s="30"/>
      <c r="K96" s="37"/>
      <c r="L96" s="30"/>
    </row>
    <row r="97" customFormat="false" ht="15" hidden="false" customHeight="false" outlineLevel="0" collapsed="false">
      <c r="B97" s="36"/>
      <c r="C97" s="37"/>
      <c r="D97" s="37"/>
      <c r="E97" s="37"/>
      <c r="F97" s="37"/>
      <c r="G97" s="30"/>
      <c r="H97" s="34"/>
      <c r="I97" s="30"/>
      <c r="J97" s="30"/>
      <c r="K97" s="37"/>
      <c r="L97" s="30"/>
    </row>
    <row r="98" customFormat="false" ht="15" hidden="false" customHeight="false" outlineLevel="0" collapsed="false">
      <c r="B98" s="36"/>
      <c r="C98" s="37"/>
      <c r="D98" s="37"/>
      <c r="E98" s="37"/>
      <c r="F98" s="37"/>
      <c r="G98" s="30"/>
      <c r="H98" s="34"/>
      <c r="I98" s="30"/>
      <c r="J98" s="30"/>
      <c r="K98" s="37"/>
      <c r="L98" s="30"/>
    </row>
    <row r="99" customFormat="false" ht="15" hidden="false" customHeight="false" outlineLevel="0" collapsed="false">
      <c r="B99" s="36"/>
      <c r="C99" s="37"/>
      <c r="D99" s="37"/>
      <c r="E99" s="37"/>
      <c r="F99" s="37"/>
      <c r="G99" s="30"/>
      <c r="H99" s="34"/>
      <c r="I99" s="30"/>
      <c r="J99" s="30"/>
      <c r="K99" s="37"/>
      <c r="L99" s="30"/>
    </row>
    <row r="100" customFormat="false" ht="15" hidden="false" customHeight="false" outlineLevel="0" collapsed="false">
      <c r="B100" s="36"/>
      <c r="C100" s="37"/>
      <c r="D100" s="37"/>
      <c r="E100" s="37"/>
      <c r="F100" s="37"/>
      <c r="G100" s="30"/>
      <c r="H100" s="34"/>
      <c r="I100" s="30"/>
      <c r="J100" s="30"/>
      <c r="K100" s="37"/>
      <c r="L100" s="30"/>
    </row>
  </sheetData>
  <autoFilter ref="B2:L100"/>
  <mergeCells count="1">
    <mergeCell ref="B1:L1"/>
  </mergeCells>
  <conditionalFormatting sqref="I3:I500">
    <cfRule type="expression" priority="2" aboveAverage="0" equalAverage="0" bottom="0" percent="0" rank="0" text="" dxfId="10">
      <formula>AND(OR($E3="MEM",$E3="PT"),$I3="")</formula>
    </cfRule>
  </conditionalFormatting>
  <conditionalFormatting sqref="L3:L500">
    <cfRule type="cellIs" priority="3" operator="equal" aboveAverage="0" equalAverage="0" bottom="0" percent="0" rank="0" text="" dxfId="11">
      <formula>"Sent"</formula>
    </cfRule>
    <cfRule type="cellIs" priority="4" operator="equal" aboveAverage="0" equalAverage="0" bottom="0" percent="0" rank="0" text="" dxfId="8">
      <formula>"Failed"</formula>
    </cfRule>
  </conditionalFormatting>
  <dataValidations count="3">
    <dataValidation allowBlank="true" errorStyle="stop" operator="between" showDropDown="false" showErrorMessage="false" showInputMessage="false" sqref="E3:E500" type="list">
      <formula1>"MEM,PT,Plan,Train,Other"</formula1>
      <formula2>0</formula2>
    </dataValidation>
    <dataValidation allowBlank="true" errorStyle="stop" operator="between" showDropDown="false" showErrorMessage="false" showInputMessage="false" sqref="C3:C500 F3:G500" type="list">
      <formula1>Settings!$B$6:$B$10</formula1>
      <formula2>0</formula2>
    </dataValidation>
    <dataValidation allowBlank="true" errorStyle="stop" operator="between" showDropDown="false" showErrorMessage="false" showInputMessage="false" sqref="L3:L500" type="list">
      <formula1>"Pending,Sent,Failed,—"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0"/>
    <col collapsed="false" customWidth="true" hidden="false" outlineLevel="0" max="11" min="11" style="0" width="2"/>
  </cols>
  <sheetData>
    <row r="1" customFormat="false" ht="30" hidden="false" customHeight="true" outlineLevel="0" collapsed="false">
      <c r="B1" s="27" t="s">
        <v>86</v>
      </c>
      <c r="C1" s="27"/>
      <c r="D1" s="27"/>
      <c r="E1" s="27"/>
      <c r="F1" s="27"/>
      <c r="G1" s="27"/>
      <c r="H1" s="27"/>
      <c r="I1" s="27"/>
      <c r="J1" s="27"/>
    </row>
    <row r="2" customFormat="false" ht="36" hidden="false" customHeight="true" outlineLevel="0" collapsed="false">
      <c r="B2" s="28" t="s">
        <v>62</v>
      </c>
      <c r="C2" s="28" t="s">
        <v>7</v>
      </c>
      <c r="D2" s="28" t="s">
        <v>29</v>
      </c>
      <c r="E2" s="28" t="s">
        <v>64</v>
      </c>
      <c r="F2" s="28" t="s">
        <v>87</v>
      </c>
      <c r="G2" s="28" t="s">
        <v>88</v>
      </c>
      <c r="H2" s="28" t="s">
        <v>89</v>
      </c>
      <c r="I2" s="28" t="s">
        <v>90</v>
      </c>
      <c r="J2" s="28" t="s">
        <v>67</v>
      </c>
    </row>
    <row r="3" customFormat="false" ht="15" hidden="false" customHeight="false" outlineLevel="0" collapsed="false">
      <c r="B3" s="36"/>
      <c r="C3" s="37"/>
      <c r="D3" s="37"/>
      <c r="E3" s="37"/>
      <c r="F3" s="37"/>
      <c r="G3" s="30"/>
      <c r="H3" s="30"/>
      <c r="I3" s="37" t="str">
        <f aca="false">IF($H3="","",IF(IFERROR(VLOOKUP($C3,Settings!$B$6:$G$10,6,FALSE()),"")=$H3,"✓ Verified","✗ Invalid"))</f>
        <v/>
      </c>
      <c r="J3" s="30"/>
    </row>
    <row r="4" customFormat="false" ht="15" hidden="false" customHeight="false" outlineLevel="0" collapsed="false">
      <c r="B4" s="36"/>
      <c r="C4" s="37"/>
      <c r="D4" s="37"/>
      <c r="E4" s="37"/>
      <c r="F4" s="37"/>
      <c r="G4" s="30"/>
      <c r="H4" s="30"/>
      <c r="I4" s="37" t="str">
        <f aca="false">IF($H4="","",IF(IFERROR(VLOOKUP($C4,Settings!$B$6:$G$10,6,FALSE()),"")=$H4,"✓ Verified","✗ Invalid"))</f>
        <v/>
      </c>
      <c r="J4" s="30"/>
    </row>
    <row r="5" customFormat="false" ht="15" hidden="false" customHeight="false" outlineLevel="0" collapsed="false">
      <c r="B5" s="36"/>
      <c r="C5" s="37"/>
      <c r="D5" s="37"/>
      <c r="E5" s="37"/>
      <c r="F5" s="37"/>
      <c r="G5" s="30"/>
      <c r="H5" s="30"/>
      <c r="I5" s="37" t="str">
        <f aca="false">IF($H5="","",IF(IFERROR(VLOOKUP($C5,Settings!$B$6:$G$10,6,FALSE()),"")=$H5,"✓ Verified","✗ Invalid"))</f>
        <v/>
      </c>
      <c r="J5" s="30"/>
    </row>
    <row r="6" customFormat="false" ht="15" hidden="false" customHeight="false" outlineLevel="0" collapsed="false">
      <c r="B6" s="36"/>
      <c r="C6" s="37"/>
      <c r="D6" s="37"/>
      <c r="E6" s="37"/>
      <c r="F6" s="37"/>
      <c r="G6" s="30"/>
      <c r="H6" s="30"/>
      <c r="I6" s="37" t="str">
        <f aca="false">IF($H6="","",IF(IFERROR(VLOOKUP($C6,Settings!$B$6:$G$10,6,FALSE()),"")=$H6,"✓ Verified","✗ Invalid"))</f>
        <v/>
      </c>
      <c r="J6" s="30"/>
    </row>
    <row r="7" customFormat="false" ht="15" hidden="false" customHeight="false" outlineLevel="0" collapsed="false">
      <c r="B7" s="36"/>
      <c r="C7" s="37"/>
      <c r="D7" s="37"/>
      <c r="E7" s="37"/>
      <c r="F7" s="37"/>
      <c r="G7" s="30"/>
      <c r="H7" s="30"/>
      <c r="I7" s="37" t="str">
        <f aca="false">IF($H7="","",IF(IFERROR(VLOOKUP($C7,Settings!$B$6:$G$10,6,FALSE()),"")=$H7,"✓ Verified","✗ Invalid"))</f>
        <v/>
      </c>
      <c r="J7" s="30"/>
    </row>
    <row r="8" customFormat="false" ht="15" hidden="false" customHeight="false" outlineLevel="0" collapsed="false">
      <c r="B8" s="36"/>
      <c r="C8" s="37"/>
      <c r="D8" s="37"/>
      <c r="E8" s="37"/>
      <c r="F8" s="37"/>
      <c r="G8" s="30"/>
      <c r="H8" s="30"/>
      <c r="I8" s="37" t="str">
        <f aca="false">IF($H8="","",IF(IFERROR(VLOOKUP($C8,Settings!$B$6:$G$10,6,FALSE()),"")=$H8,"✓ Verified","✗ Invalid"))</f>
        <v/>
      </c>
      <c r="J8" s="30"/>
    </row>
    <row r="9" customFormat="false" ht="15" hidden="false" customHeight="false" outlineLevel="0" collapsed="false">
      <c r="B9" s="36"/>
      <c r="C9" s="37"/>
      <c r="D9" s="37"/>
      <c r="E9" s="37"/>
      <c r="F9" s="37"/>
      <c r="G9" s="30"/>
      <c r="H9" s="30"/>
      <c r="I9" s="37" t="str">
        <f aca="false">IF($H9="","",IF(IFERROR(VLOOKUP($C9,Settings!$B$6:$G$10,6,FALSE()),"")=$H9,"✓ Verified","✗ Invalid"))</f>
        <v/>
      </c>
      <c r="J9" s="30"/>
    </row>
    <row r="10" customFormat="false" ht="15" hidden="false" customHeight="false" outlineLevel="0" collapsed="false">
      <c r="B10" s="36"/>
      <c r="C10" s="37"/>
      <c r="D10" s="37"/>
      <c r="E10" s="37"/>
      <c r="F10" s="37"/>
      <c r="G10" s="30"/>
      <c r="H10" s="30"/>
      <c r="I10" s="37" t="str">
        <f aca="false">IF($H10="","",IF(IFERROR(VLOOKUP($C10,Settings!$B$6:$G$10,6,FALSE()),"")=$H10,"✓ Verified","✗ Invalid"))</f>
        <v/>
      </c>
      <c r="J10" s="30"/>
    </row>
    <row r="11" customFormat="false" ht="15" hidden="false" customHeight="false" outlineLevel="0" collapsed="false">
      <c r="B11" s="36"/>
      <c r="C11" s="37"/>
      <c r="D11" s="37"/>
      <c r="E11" s="37"/>
      <c r="F11" s="37"/>
      <c r="G11" s="30"/>
      <c r="H11" s="30"/>
      <c r="I11" s="37" t="str">
        <f aca="false">IF($H11="","",IF(IFERROR(VLOOKUP($C11,Settings!$B$6:$G$10,6,FALSE()),"")=$H11,"✓ Verified","✗ Invalid"))</f>
        <v/>
      </c>
      <c r="J11" s="30"/>
    </row>
    <row r="12" customFormat="false" ht="15" hidden="false" customHeight="false" outlineLevel="0" collapsed="false">
      <c r="B12" s="36"/>
      <c r="C12" s="37"/>
      <c r="D12" s="37"/>
      <c r="E12" s="37"/>
      <c r="F12" s="37"/>
      <c r="G12" s="30"/>
      <c r="H12" s="30"/>
      <c r="I12" s="37" t="str">
        <f aca="false">IF($H12="","",IF(IFERROR(VLOOKUP($C12,Settings!$B$6:$G$10,6,FALSE()),"")=$H12,"✓ Verified","✗ Invalid"))</f>
        <v/>
      </c>
      <c r="J12" s="30"/>
    </row>
    <row r="13" customFormat="false" ht="15" hidden="false" customHeight="false" outlineLevel="0" collapsed="false">
      <c r="B13" s="36"/>
      <c r="C13" s="37"/>
      <c r="D13" s="37"/>
      <c r="E13" s="37"/>
      <c r="F13" s="37"/>
      <c r="G13" s="30"/>
      <c r="H13" s="30"/>
      <c r="I13" s="37" t="str">
        <f aca="false">IF($H13="","",IF(IFERROR(VLOOKUP($C13,Settings!$B$6:$G$10,6,FALSE()),"")=$H13,"✓ Verified","✗ Invalid"))</f>
        <v/>
      </c>
      <c r="J13" s="30"/>
    </row>
    <row r="14" customFormat="false" ht="15" hidden="false" customHeight="false" outlineLevel="0" collapsed="false">
      <c r="B14" s="36"/>
      <c r="C14" s="37"/>
      <c r="D14" s="37"/>
      <c r="E14" s="37"/>
      <c r="F14" s="37"/>
      <c r="G14" s="30"/>
      <c r="H14" s="30"/>
      <c r="I14" s="37" t="str">
        <f aca="false">IF($H14="","",IF(IFERROR(VLOOKUP($C14,Settings!$B$6:$G$10,6,FALSE()),"")=$H14,"✓ Verified","✗ Invalid"))</f>
        <v/>
      </c>
      <c r="J14" s="30"/>
    </row>
    <row r="15" customFormat="false" ht="15" hidden="false" customHeight="false" outlineLevel="0" collapsed="false">
      <c r="B15" s="36"/>
      <c r="C15" s="37"/>
      <c r="D15" s="37"/>
      <c r="E15" s="37"/>
      <c r="F15" s="37"/>
      <c r="G15" s="30"/>
      <c r="H15" s="30"/>
      <c r="I15" s="37" t="str">
        <f aca="false">IF($H15="","",IF(IFERROR(VLOOKUP($C15,Settings!$B$6:$G$10,6,FALSE()),"")=$H15,"✓ Verified","✗ Invalid"))</f>
        <v/>
      </c>
      <c r="J15" s="30"/>
    </row>
    <row r="16" customFormat="false" ht="15" hidden="false" customHeight="false" outlineLevel="0" collapsed="false">
      <c r="B16" s="36"/>
      <c r="C16" s="37"/>
      <c r="D16" s="37"/>
      <c r="E16" s="37"/>
      <c r="F16" s="37"/>
      <c r="G16" s="30"/>
      <c r="H16" s="30"/>
      <c r="I16" s="37" t="str">
        <f aca="false">IF($H16="","",IF(IFERROR(VLOOKUP($C16,Settings!$B$6:$G$10,6,FALSE()),"")=$H16,"✓ Verified","✗ Invalid"))</f>
        <v/>
      </c>
      <c r="J16" s="30"/>
    </row>
    <row r="17" customFormat="false" ht="15" hidden="false" customHeight="false" outlineLevel="0" collapsed="false">
      <c r="B17" s="36"/>
      <c r="C17" s="37"/>
      <c r="D17" s="37"/>
      <c r="E17" s="37"/>
      <c r="F17" s="37"/>
      <c r="G17" s="30"/>
      <c r="H17" s="30"/>
      <c r="I17" s="37" t="str">
        <f aca="false">IF($H17="","",IF(IFERROR(VLOOKUP($C17,Settings!$B$6:$G$10,6,FALSE()),"")=$H17,"✓ Verified","✗ Invalid"))</f>
        <v/>
      </c>
      <c r="J17" s="30"/>
    </row>
    <row r="18" customFormat="false" ht="15" hidden="false" customHeight="false" outlineLevel="0" collapsed="false">
      <c r="B18" s="36"/>
      <c r="C18" s="37"/>
      <c r="D18" s="37"/>
      <c r="E18" s="37"/>
      <c r="F18" s="37"/>
      <c r="G18" s="30"/>
      <c r="H18" s="30"/>
      <c r="I18" s="37" t="str">
        <f aca="false">IF($H18="","",IF(IFERROR(VLOOKUP($C18,Settings!$B$6:$G$10,6,FALSE()),"")=$H18,"✓ Verified","✗ Invalid"))</f>
        <v/>
      </c>
      <c r="J18" s="30"/>
    </row>
    <row r="19" customFormat="false" ht="15" hidden="false" customHeight="false" outlineLevel="0" collapsed="false">
      <c r="B19" s="36"/>
      <c r="C19" s="37"/>
      <c r="D19" s="37"/>
      <c r="E19" s="37"/>
      <c r="F19" s="37"/>
      <c r="G19" s="30"/>
      <c r="H19" s="30"/>
      <c r="I19" s="37" t="str">
        <f aca="false">IF($H19="","",IF(IFERROR(VLOOKUP($C19,Settings!$B$6:$G$10,6,FALSE()),"")=$H19,"✓ Verified","✗ Invalid"))</f>
        <v/>
      </c>
      <c r="J19" s="30"/>
    </row>
    <row r="20" customFormat="false" ht="15" hidden="false" customHeight="false" outlineLevel="0" collapsed="false">
      <c r="B20" s="36"/>
      <c r="C20" s="37"/>
      <c r="D20" s="37"/>
      <c r="E20" s="37"/>
      <c r="F20" s="37"/>
      <c r="G20" s="30"/>
      <c r="H20" s="30"/>
      <c r="I20" s="37" t="str">
        <f aca="false">IF($H20="","",IF(IFERROR(VLOOKUP($C20,Settings!$B$6:$G$10,6,FALSE()),"")=$H20,"✓ Verified","✗ Invalid"))</f>
        <v/>
      </c>
      <c r="J20" s="30"/>
    </row>
    <row r="21" customFormat="false" ht="15" hidden="false" customHeight="false" outlineLevel="0" collapsed="false">
      <c r="B21" s="36"/>
      <c r="C21" s="37"/>
      <c r="D21" s="37"/>
      <c r="E21" s="37"/>
      <c r="F21" s="37"/>
      <c r="G21" s="30"/>
      <c r="H21" s="30"/>
      <c r="I21" s="37" t="str">
        <f aca="false">IF($H21="","",IF(IFERROR(VLOOKUP($C21,Settings!$B$6:$G$10,6,FALSE()),"")=$H21,"✓ Verified","✗ Invalid"))</f>
        <v/>
      </c>
      <c r="J21" s="30"/>
    </row>
    <row r="22" customFormat="false" ht="15" hidden="false" customHeight="false" outlineLevel="0" collapsed="false">
      <c r="B22" s="36"/>
      <c r="C22" s="37"/>
      <c r="D22" s="37"/>
      <c r="E22" s="37"/>
      <c r="F22" s="37"/>
      <c r="G22" s="30"/>
      <c r="H22" s="30"/>
      <c r="I22" s="37" t="str">
        <f aca="false">IF($H22="","",IF(IFERROR(VLOOKUP($C22,Settings!$B$6:$G$10,6,FALSE()),"")=$H22,"✓ Verified","✗ Invalid"))</f>
        <v/>
      </c>
      <c r="J22" s="30"/>
    </row>
    <row r="23" customFormat="false" ht="15" hidden="false" customHeight="false" outlineLevel="0" collapsed="false">
      <c r="B23" s="36"/>
      <c r="C23" s="37"/>
      <c r="D23" s="37"/>
      <c r="E23" s="37"/>
      <c r="F23" s="37"/>
      <c r="G23" s="30"/>
      <c r="H23" s="30"/>
      <c r="I23" s="37" t="str">
        <f aca="false">IF($H23="","",IF(IFERROR(VLOOKUP($C23,Settings!$B$6:$G$10,6,FALSE()),"")=$H23,"✓ Verified","✗ Invalid"))</f>
        <v/>
      </c>
      <c r="J23" s="30"/>
    </row>
    <row r="24" customFormat="false" ht="15" hidden="false" customHeight="false" outlineLevel="0" collapsed="false">
      <c r="B24" s="36"/>
      <c r="C24" s="37"/>
      <c r="D24" s="37"/>
      <c r="E24" s="37"/>
      <c r="F24" s="37"/>
      <c r="G24" s="30"/>
      <c r="H24" s="30"/>
      <c r="I24" s="37" t="str">
        <f aca="false">IF($H24="","",IF(IFERROR(VLOOKUP($C24,Settings!$B$6:$G$10,6,FALSE()),"")=$H24,"✓ Verified","✗ Invalid"))</f>
        <v/>
      </c>
      <c r="J24" s="30"/>
    </row>
    <row r="25" customFormat="false" ht="15" hidden="false" customHeight="false" outlineLevel="0" collapsed="false">
      <c r="B25" s="36"/>
      <c r="C25" s="37"/>
      <c r="D25" s="37"/>
      <c r="E25" s="37"/>
      <c r="F25" s="37"/>
      <c r="G25" s="30"/>
      <c r="H25" s="30"/>
      <c r="I25" s="37" t="str">
        <f aca="false">IF($H25="","",IF(IFERROR(VLOOKUP($C25,Settings!$B$6:$G$10,6,FALSE()),"")=$H25,"✓ Verified","✗ Invalid"))</f>
        <v/>
      </c>
      <c r="J25" s="30"/>
    </row>
    <row r="26" customFormat="false" ht="15" hidden="false" customHeight="false" outlineLevel="0" collapsed="false">
      <c r="B26" s="36"/>
      <c r="C26" s="37"/>
      <c r="D26" s="37"/>
      <c r="E26" s="37"/>
      <c r="F26" s="37"/>
      <c r="G26" s="30"/>
      <c r="H26" s="30"/>
      <c r="I26" s="37" t="str">
        <f aca="false">IF($H26="","",IF(IFERROR(VLOOKUP($C26,Settings!$B$6:$G$10,6,FALSE()),"")=$H26,"✓ Verified","✗ Invalid"))</f>
        <v/>
      </c>
      <c r="J26" s="30"/>
    </row>
    <row r="27" customFormat="false" ht="15" hidden="false" customHeight="false" outlineLevel="0" collapsed="false">
      <c r="B27" s="36"/>
      <c r="C27" s="37"/>
      <c r="D27" s="37"/>
      <c r="E27" s="37"/>
      <c r="F27" s="37"/>
      <c r="G27" s="30"/>
      <c r="H27" s="30"/>
      <c r="I27" s="37" t="str">
        <f aca="false">IF($H27="","",IF(IFERROR(VLOOKUP($C27,Settings!$B$6:$G$10,6,FALSE()),"")=$H27,"✓ Verified","✗ Invalid"))</f>
        <v/>
      </c>
      <c r="J27" s="30"/>
    </row>
    <row r="28" customFormat="false" ht="15" hidden="false" customHeight="false" outlineLevel="0" collapsed="false">
      <c r="B28" s="36"/>
      <c r="C28" s="37"/>
      <c r="D28" s="37"/>
      <c r="E28" s="37"/>
      <c r="F28" s="37"/>
      <c r="G28" s="30"/>
      <c r="H28" s="30"/>
      <c r="I28" s="37" t="str">
        <f aca="false">IF($H28="","",IF(IFERROR(VLOOKUP($C28,Settings!$B$6:$G$10,6,FALSE()),"")=$H28,"✓ Verified","✗ Invalid"))</f>
        <v/>
      </c>
      <c r="J28" s="30"/>
    </row>
    <row r="29" customFormat="false" ht="15" hidden="false" customHeight="false" outlineLevel="0" collapsed="false">
      <c r="B29" s="36"/>
      <c r="C29" s="37"/>
      <c r="D29" s="37"/>
      <c r="E29" s="37"/>
      <c r="F29" s="37"/>
      <c r="G29" s="30"/>
      <c r="H29" s="30"/>
      <c r="I29" s="37" t="str">
        <f aca="false">IF($H29="","",IF(IFERROR(VLOOKUP($C29,Settings!$B$6:$G$10,6,FALSE()),"")=$H29,"✓ Verified","✗ Invalid"))</f>
        <v/>
      </c>
      <c r="J29" s="30"/>
    </row>
    <row r="30" customFormat="false" ht="15" hidden="false" customHeight="false" outlineLevel="0" collapsed="false">
      <c r="B30" s="36"/>
      <c r="C30" s="37"/>
      <c r="D30" s="37"/>
      <c r="E30" s="37"/>
      <c r="F30" s="37"/>
      <c r="G30" s="30"/>
      <c r="H30" s="30"/>
      <c r="I30" s="37" t="str">
        <f aca="false">IF($H30="","",IF(IFERROR(VLOOKUP($C30,Settings!$B$6:$G$10,6,FALSE()),"")=$H30,"✓ Verified","✗ Invalid"))</f>
        <v/>
      </c>
      <c r="J30" s="30"/>
    </row>
    <row r="31" customFormat="false" ht="15" hidden="false" customHeight="false" outlineLevel="0" collapsed="false">
      <c r="B31" s="36"/>
      <c r="C31" s="37"/>
      <c r="D31" s="37"/>
      <c r="E31" s="37"/>
      <c r="F31" s="37"/>
      <c r="G31" s="30"/>
      <c r="H31" s="30"/>
      <c r="I31" s="37" t="str">
        <f aca="false">IF($H31="","",IF(IFERROR(VLOOKUP($C31,Settings!$B$6:$G$10,6,FALSE()),"")=$H31,"✓ Verified","✗ Invalid"))</f>
        <v/>
      </c>
      <c r="J31" s="30"/>
    </row>
    <row r="32" customFormat="false" ht="15" hidden="false" customHeight="false" outlineLevel="0" collapsed="false">
      <c r="B32" s="36"/>
      <c r="C32" s="37"/>
      <c r="D32" s="37"/>
      <c r="E32" s="37"/>
      <c r="F32" s="37"/>
      <c r="G32" s="30"/>
      <c r="H32" s="30"/>
      <c r="I32" s="37" t="str">
        <f aca="false">IF($H32="","",IF(IFERROR(VLOOKUP($C32,Settings!$B$6:$G$10,6,FALSE()),"")=$H32,"✓ Verified","✗ Invalid"))</f>
        <v/>
      </c>
      <c r="J32" s="30"/>
    </row>
    <row r="33" customFormat="false" ht="15" hidden="false" customHeight="false" outlineLevel="0" collapsed="false">
      <c r="B33" s="36"/>
      <c r="C33" s="37"/>
      <c r="D33" s="37"/>
      <c r="E33" s="37"/>
      <c r="F33" s="37"/>
      <c r="G33" s="30"/>
      <c r="H33" s="30"/>
      <c r="I33" s="37" t="str">
        <f aca="false">IF($H33="","",IF(IFERROR(VLOOKUP($C33,Settings!$B$6:$G$10,6,FALSE()),"")=$H33,"✓ Verified","✗ Invalid"))</f>
        <v/>
      </c>
      <c r="J33" s="30"/>
    </row>
    <row r="34" customFormat="false" ht="15" hidden="false" customHeight="false" outlineLevel="0" collapsed="false">
      <c r="B34" s="36"/>
      <c r="C34" s="37"/>
      <c r="D34" s="37"/>
      <c r="E34" s="37"/>
      <c r="F34" s="37"/>
      <c r="G34" s="30"/>
      <c r="H34" s="30"/>
      <c r="I34" s="37" t="str">
        <f aca="false">IF($H34="","",IF(IFERROR(VLOOKUP($C34,Settings!$B$6:$G$10,6,FALSE()),"")=$H34,"✓ Verified","✗ Invalid"))</f>
        <v/>
      </c>
      <c r="J34" s="30"/>
    </row>
    <row r="35" customFormat="false" ht="15" hidden="false" customHeight="false" outlineLevel="0" collapsed="false">
      <c r="B35" s="36"/>
      <c r="C35" s="37"/>
      <c r="D35" s="37"/>
      <c r="E35" s="37"/>
      <c r="F35" s="37"/>
      <c r="G35" s="30"/>
      <c r="H35" s="30"/>
      <c r="I35" s="37" t="str">
        <f aca="false">IF($H35="","",IF(IFERROR(VLOOKUP($C35,Settings!$B$6:$G$10,6,FALSE()),"")=$H35,"✓ Verified","✗ Invalid"))</f>
        <v/>
      </c>
      <c r="J35" s="30"/>
    </row>
    <row r="36" customFormat="false" ht="15" hidden="false" customHeight="false" outlineLevel="0" collapsed="false">
      <c r="B36" s="36"/>
      <c r="C36" s="37"/>
      <c r="D36" s="37"/>
      <c r="E36" s="37"/>
      <c r="F36" s="37"/>
      <c r="G36" s="30"/>
      <c r="H36" s="30"/>
      <c r="I36" s="37" t="str">
        <f aca="false">IF($H36="","",IF(IFERROR(VLOOKUP($C36,Settings!$B$6:$G$10,6,FALSE()),"")=$H36,"✓ Verified","✗ Invalid"))</f>
        <v/>
      </c>
      <c r="J36" s="30"/>
    </row>
    <row r="37" customFormat="false" ht="15" hidden="false" customHeight="false" outlineLevel="0" collapsed="false">
      <c r="B37" s="36"/>
      <c r="C37" s="37"/>
      <c r="D37" s="37"/>
      <c r="E37" s="37"/>
      <c r="F37" s="37"/>
      <c r="G37" s="30"/>
      <c r="H37" s="30"/>
      <c r="I37" s="37" t="str">
        <f aca="false">IF($H37="","",IF(IFERROR(VLOOKUP($C37,Settings!$B$6:$G$10,6,FALSE()),"")=$H37,"✓ Verified","✗ Invalid"))</f>
        <v/>
      </c>
      <c r="J37" s="30"/>
    </row>
    <row r="38" customFormat="false" ht="15" hidden="false" customHeight="false" outlineLevel="0" collapsed="false">
      <c r="B38" s="36"/>
      <c r="C38" s="37"/>
      <c r="D38" s="37"/>
      <c r="E38" s="37"/>
      <c r="F38" s="37"/>
      <c r="G38" s="30"/>
      <c r="H38" s="30"/>
      <c r="I38" s="37" t="str">
        <f aca="false">IF($H38="","",IF(IFERROR(VLOOKUP($C38,Settings!$B$6:$G$10,6,FALSE()),"")=$H38,"✓ Verified","✗ Invalid"))</f>
        <v/>
      </c>
      <c r="J38" s="30"/>
    </row>
    <row r="39" customFormat="false" ht="15" hidden="false" customHeight="false" outlineLevel="0" collapsed="false">
      <c r="B39" s="36"/>
      <c r="C39" s="37"/>
      <c r="D39" s="37"/>
      <c r="E39" s="37"/>
      <c r="F39" s="37"/>
      <c r="G39" s="30"/>
      <c r="H39" s="30"/>
      <c r="I39" s="37" t="str">
        <f aca="false">IF($H39="","",IF(IFERROR(VLOOKUP($C39,Settings!$B$6:$G$10,6,FALSE()),"")=$H39,"✓ Verified","✗ Invalid"))</f>
        <v/>
      </c>
      <c r="J39" s="30"/>
    </row>
    <row r="40" customFormat="false" ht="15" hidden="false" customHeight="false" outlineLevel="0" collapsed="false">
      <c r="B40" s="36"/>
      <c r="C40" s="37"/>
      <c r="D40" s="37"/>
      <c r="E40" s="37"/>
      <c r="F40" s="37"/>
      <c r="G40" s="30"/>
      <c r="H40" s="30"/>
      <c r="I40" s="37" t="str">
        <f aca="false">IF($H40="","",IF(IFERROR(VLOOKUP($C40,Settings!$B$6:$G$10,6,FALSE()),"")=$H40,"✓ Verified","✗ Invalid"))</f>
        <v/>
      </c>
      <c r="J40" s="30"/>
    </row>
    <row r="41" customFormat="false" ht="15" hidden="false" customHeight="false" outlineLevel="0" collapsed="false">
      <c r="B41" s="36"/>
      <c r="C41" s="37"/>
      <c r="D41" s="37"/>
      <c r="E41" s="37"/>
      <c r="F41" s="37"/>
      <c r="G41" s="30"/>
      <c r="H41" s="30"/>
      <c r="I41" s="37" t="str">
        <f aca="false">IF($H41="","",IF(IFERROR(VLOOKUP($C41,Settings!$B$6:$G$10,6,FALSE()),"")=$H41,"✓ Verified","✗ Invalid"))</f>
        <v/>
      </c>
      <c r="J41" s="30"/>
    </row>
    <row r="42" customFormat="false" ht="15" hidden="false" customHeight="false" outlineLevel="0" collapsed="false">
      <c r="B42" s="36"/>
      <c r="C42" s="37"/>
      <c r="D42" s="37"/>
      <c r="E42" s="37"/>
      <c r="F42" s="37"/>
      <c r="G42" s="30"/>
      <c r="H42" s="30"/>
      <c r="I42" s="37" t="str">
        <f aca="false">IF($H42="","",IF(IFERROR(VLOOKUP($C42,Settings!$B$6:$G$10,6,FALSE()),"")=$H42,"✓ Verified","✗ Invalid"))</f>
        <v/>
      </c>
      <c r="J42" s="30"/>
    </row>
    <row r="43" customFormat="false" ht="15" hidden="false" customHeight="false" outlineLevel="0" collapsed="false">
      <c r="B43" s="36"/>
      <c r="C43" s="37"/>
      <c r="D43" s="37"/>
      <c r="E43" s="37"/>
      <c r="F43" s="37"/>
      <c r="G43" s="30"/>
      <c r="H43" s="30"/>
      <c r="I43" s="37" t="str">
        <f aca="false">IF($H43="","",IF(IFERROR(VLOOKUP($C43,Settings!$B$6:$G$10,6,FALSE()),"")=$H43,"✓ Verified","✗ Invalid"))</f>
        <v/>
      </c>
      <c r="J43" s="30"/>
    </row>
    <row r="44" customFormat="false" ht="15" hidden="false" customHeight="false" outlineLevel="0" collapsed="false">
      <c r="B44" s="36"/>
      <c r="C44" s="37"/>
      <c r="D44" s="37"/>
      <c r="E44" s="37"/>
      <c r="F44" s="37"/>
      <c r="G44" s="30"/>
      <c r="H44" s="30"/>
      <c r="I44" s="37" t="str">
        <f aca="false">IF($H44="","",IF(IFERROR(VLOOKUP($C44,Settings!$B$6:$G$10,6,FALSE()),"")=$H44,"✓ Verified","✗ Invalid"))</f>
        <v/>
      </c>
      <c r="J44" s="30"/>
    </row>
    <row r="45" customFormat="false" ht="15" hidden="false" customHeight="false" outlineLevel="0" collapsed="false">
      <c r="B45" s="36"/>
      <c r="C45" s="37"/>
      <c r="D45" s="37"/>
      <c r="E45" s="37"/>
      <c r="F45" s="37"/>
      <c r="G45" s="30"/>
      <c r="H45" s="30"/>
      <c r="I45" s="37" t="str">
        <f aca="false">IF($H45="","",IF(IFERROR(VLOOKUP($C45,Settings!$B$6:$G$10,6,FALSE()),"")=$H45,"✓ Verified","✗ Invalid"))</f>
        <v/>
      </c>
      <c r="J45" s="30"/>
    </row>
    <row r="46" customFormat="false" ht="15" hidden="false" customHeight="false" outlineLevel="0" collapsed="false">
      <c r="B46" s="36"/>
      <c r="C46" s="37"/>
      <c r="D46" s="37"/>
      <c r="E46" s="37"/>
      <c r="F46" s="37"/>
      <c r="G46" s="30"/>
      <c r="H46" s="30"/>
      <c r="I46" s="37" t="str">
        <f aca="false">IF($H46="","",IF(IFERROR(VLOOKUP($C46,Settings!$B$6:$G$10,6,FALSE()),"")=$H46,"✓ Verified","✗ Invalid"))</f>
        <v/>
      </c>
      <c r="J46" s="30"/>
    </row>
    <row r="47" customFormat="false" ht="15" hidden="false" customHeight="false" outlineLevel="0" collapsed="false">
      <c r="B47" s="36"/>
      <c r="C47" s="37"/>
      <c r="D47" s="37"/>
      <c r="E47" s="37"/>
      <c r="F47" s="37"/>
      <c r="G47" s="30"/>
      <c r="H47" s="30"/>
      <c r="I47" s="37" t="str">
        <f aca="false">IF($H47="","",IF(IFERROR(VLOOKUP($C47,Settings!$B$6:$G$10,6,FALSE()),"")=$H47,"✓ Verified","✗ Invalid"))</f>
        <v/>
      </c>
      <c r="J47" s="30"/>
    </row>
    <row r="48" customFormat="false" ht="15" hidden="false" customHeight="false" outlineLevel="0" collapsed="false">
      <c r="B48" s="36"/>
      <c r="C48" s="37"/>
      <c r="D48" s="37"/>
      <c r="E48" s="37"/>
      <c r="F48" s="37"/>
      <c r="G48" s="30"/>
      <c r="H48" s="30"/>
      <c r="I48" s="37" t="str">
        <f aca="false">IF($H48="","",IF(IFERROR(VLOOKUP($C48,Settings!$B$6:$G$10,6,FALSE()),"")=$H48,"✓ Verified","✗ Invalid"))</f>
        <v/>
      </c>
      <c r="J48" s="30"/>
    </row>
    <row r="49" customFormat="false" ht="15" hidden="false" customHeight="false" outlineLevel="0" collapsed="false">
      <c r="B49" s="36"/>
      <c r="C49" s="37"/>
      <c r="D49" s="37"/>
      <c r="E49" s="37"/>
      <c r="F49" s="37"/>
      <c r="G49" s="30"/>
      <c r="H49" s="30"/>
      <c r="I49" s="37" t="str">
        <f aca="false">IF($H49="","",IF(IFERROR(VLOOKUP($C49,Settings!$B$6:$G$10,6,FALSE()),"")=$H49,"✓ Verified","✗ Invalid"))</f>
        <v/>
      </c>
      <c r="J49" s="30"/>
    </row>
    <row r="50" customFormat="false" ht="15" hidden="false" customHeight="false" outlineLevel="0" collapsed="false">
      <c r="B50" s="36"/>
      <c r="C50" s="37"/>
      <c r="D50" s="37"/>
      <c r="E50" s="37"/>
      <c r="F50" s="37"/>
      <c r="G50" s="30"/>
      <c r="H50" s="30"/>
      <c r="I50" s="37" t="str">
        <f aca="false">IF($H50="","",IF(IFERROR(VLOOKUP($C50,Settings!$B$6:$G$10,6,FALSE()),"")=$H50,"✓ Verified","✗ Invalid"))</f>
        <v/>
      </c>
      <c r="J50" s="30"/>
    </row>
    <row r="51" customFormat="false" ht="15" hidden="false" customHeight="false" outlineLevel="0" collapsed="false">
      <c r="B51" s="36"/>
      <c r="C51" s="37"/>
      <c r="D51" s="37"/>
      <c r="E51" s="37"/>
      <c r="F51" s="37"/>
      <c r="G51" s="30"/>
      <c r="H51" s="30"/>
      <c r="I51" s="37" t="str">
        <f aca="false">IF($H51="","",IF(IFERROR(VLOOKUP($C51,Settings!$B$6:$G$10,6,FALSE()),"")=$H51,"✓ Verified","✗ Invalid"))</f>
        <v/>
      </c>
      <c r="J51" s="30"/>
    </row>
    <row r="52" customFormat="false" ht="15" hidden="false" customHeight="false" outlineLevel="0" collapsed="false">
      <c r="B52" s="36"/>
      <c r="C52" s="37"/>
      <c r="D52" s="37"/>
      <c r="E52" s="37"/>
      <c r="F52" s="37"/>
      <c r="G52" s="30"/>
      <c r="H52" s="30"/>
      <c r="I52" s="37" t="str">
        <f aca="false">IF($H52="","",IF(IFERROR(VLOOKUP($C52,Settings!$B$6:$G$10,6,FALSE()),"")=$H52,"✓ Verified","✗ Invalid"))</f>
        <v/>
      </c>
      <c r="J52" s="30"/>
    </row>
    <row r="53" customFormat="false" ht="15" hidden="false" customHeight="false" outlineLevel="0" collapsed="false">
      <c r="B53" s="36"/>
      <c r="C53" s="37"/>
      <c r="D53" s="37"/>
      <c r="E53" s="37"/>
      <c r="F53" s="37"/>
      <c r="G53" s="30"/>
      <c r="H53" s="30"/>
      <c r="I53" s="37" t="str">
        <f aca="false">IF($H53="","",IF(IFERROR(VLOOKUP($C53,Settings!$B$6:$G$10,6,FALSE()),"")=$H53,"✓ Verified","✗ Invalid"))</f>
        <v/>
      </c>
      <c r="J53" s="30"/>
    </row>
    <row r="54" customFormat="false" ht="15" hidden="false" customHeight="false" outlineLevel="0" collapsed="false">
      <c r="B54" s="36"/>
      <c r="C54" s="37"/>
      <c r="D54" s="37"/>
      <c r="E54" s="37"/>
      <c r="F54" s="37"/>
      <c r="G54" s="30"/>
      <c r="H54" s="30"/>
      <c r="I54" s="37" t="str">
        <f aca="false">IF($H54="","",IF(IFERROR(VLOOKUP($C54,Settings!$B$6:$G$10,6,FALSE()),"")=$H54,"✓ Verified","✗ Invalid"))</f>
        <v/>
      </c>
      <c r="J54" s="30"/>
    </row>
    <row r="55" customFormat="false" ht="15" hidden="false" customHeight="false" outlineLevel="0" collapsed="false">
      <c r="B55" s="36"/>
      <c r="C55" s="37"/>
      <c r="D55" s="37"/>
      <c r="E55" s="37"/>
      <c r="F55" s="37"/>
      <c r="G55" s="30"/>
      <c r="H55" s="30"/>
      <c r="I55" s="37" t="str">
        <f aca="false">IF($H55="","",IF(IFERROR(VLOOKUP($C55,Settings!$B$6:$G$10,6,FALSE()),"")=$H55,"✓ Verified","✗ Invalid"))</f>
        <v/>
      </c>
      <c r="J55" s="30"/>
    </row>
    <row r="56" customFormat="false" ht="15" hidden="false" customHeight="false" outlineLevel="0" collapsed="false">
      <c r="B56" s="36"/>
      <c r="C56" s="37"/>
      <c r="D56" s="37"/>
      <c r="E56" s="37"/>
      <c r="F56" s="37"/>
      <c r="G56" s="30"/>
      <c r="H56" s="30"/>
      <c r="I56" s="37" t="str">
        <f aca="false">IF($H56="","",IF(IFERROR(VLOOKUP($C56,Settings!$B$6:$G$10,6,FALSE()),"")=$H56,"✓ Verified","✗ Invalid"))</f>
        <v/>
      </c>
      <c r="J56" s="30"/>
    </row>
    <row r="57" customFormat="false" ht="15" hidden="false" customHeight="false" outlineLevel="0" collapsed="false">
      <c r="B57" s="36"/>
      <c r="C57" s="37"/>
      <c r="D57" s="37"/>
      <c r="E57" s="37"/>
      <c r="F57" s="37"/>
      <c r="G57" s="30"/>
      <c r="H57" s="30"/>
      <c r="I57" s="37" t="str">
        <f aca="false">IF($H57="","",IF(IFERROR(VLOOKUP($C57,Settings!$B$6:$G$10,6,FALSE()),"")=$H57,"✓ Verified","✗ Invalid"))</f>
        <v/>
      </c>
      <c r="J57" s="30"/>
    </row>
    <row r="58" customFormat="false" ht="15" hidden="false" customHeight="false" outlineLevel="0" collapsed="false">
      <c r="B58" s="36"/>
      <c r="C58" s="37"/>
      <c r="D58" s="37"/>
      <c r="E58" s="37"/>
      <c r="F58" s="37"/>
      <c r="G58" s="30"/>
      <c r="H58" s="30"/>
      <c r="I58" s="37" t="str">
        <f aca="false">IF($H58="","",IF(IFERROR(VLOOKUP($C58,Settings!$B$6:$G$10,6,FALSE()),"")=$H58,"✓ Verified","✗ Invalid"))</f>
        <v/>
      </c>
      <c r="J58" s="30"/>
    </row>
    <row r="59" customFormat="false" ht="15" hidden="false" customHeight="false" outlineLevel="0" collapsed="false">
      <c r="B59" s="36"/>
      <c r="C59" s="37"/>
      <c r="D59" s="37"/>
      <c r="E59" s="37"/>
      <c r="F59" s="37"/>
      <c r="G59" s="30"/>
      <c r="H59" s="30"/>
      <c r="I59" s="37" t="str">
        <f aca="false">IF($H59="","",IF(IFERROR(VLOOKUP($C59,Settings!$B$6:$G$10,6,FALSE()),"")=$H59,"✓ Verified","✗ Invalid"))</f>
        <v/>
      </c>
      <c r="J59" s="30"/>
    </row>
    <row r="60" customFormat="false" ht="15" hidden="false" customHeight="false" outlineLevel="0" collapsed="false">
      <c r="B60" s="36"/>
      <c r="C60" s="37"/>
      <c r="D60" s="37"/>
      <c r="E60" s="37"/>
      <c r="F60" s="37"/>
      <c r="G60" s="30"/>
      <c r="H60" s="30"/>
      <c r="I60" s="37" t="str">
        <f aca="false">IF($H60="","",IF(IFERROR(VLOOKUP($C60,Settings!$B$6:$G$10,6,FALSE()),"")=$H60,"✓ Verified","✗ Invalid"))</f>
        <v/>
      </c>
      <c r="J60" s="30"/>
    </row>
    <row r="61" customFormat="false" ht="15" hidden="false" customHeight="false" outlineLevel="0" collapsed="false">
      <c r="B61" s="36"/>
      <c r="C61" s="37"/>
      <c r="D61" s="37"/>
      <c r="E61" s="37"/>
      <c r="F61" s="37"/>
      <c r="G61" s="30"/>
      <c r="H61" s="30"/>
      <c r="I61" s="37" t="str">
        <f aca="false">IF($H61="","",IF(IFERROR(VLOOKUP($C61,Settings!$B$6:$G$10,6,FALSE()),"")=$H61,"✓ Verified","✗ Invalid"))</f>
        <v/>
      </c>
      <c r="J61" s="30"/>
    </row>
    <row r="62" customFormat="false" ht="15" hidden="false" customHeight="false" outlineLevel="0" collapsed="false">
      <c r="B62" s="36"/>
      <c r="C62" s="37"/>
      <c r="D62" s="37"/>
      <c r="E62" s="37"/>
      <c r="F62" s="37"/>
      <c r="G62" s="30"/>
      <c r="H62" s="30"/>
      <c r="I62" s="37" t="str">
        <f aca="false">IF($H62="","",IF(IFERROR(VLOOKUP($C62,Settings!$B$6:$G$10,6,FALSE()),"")=$H62,"✓ Verified","✗ Invalid"))</f>
        <v/>
      </c>
      <c r="J62" s="30"/>
    </row>
    <row r="63" customFormat="false" ht="15" hidden="false" customHeight="false" outlineLevel="0" collapsed="false">
      <c r="B63" s="36"/>
      <c r="C63" s="37"/>
      <c r="D63" s="37"/>
      <c r="E63" s="37"/>
      <c r="F63" s="37"/>
      <c r="G63" s="30"/>
      <c r="H63" s="30"/>
      <c r="I63" s="37" t="str">
        <f aca="false">IF($H63="","",IF(IFERROR(VLOOKUP($C63,Settings!$B$6:$G$10,6,FALSE()),"")=$H63,"✓ Verified","✗ Invalid"))</f>
        <v/>
      </c>
      <c r="J63" s="30"/>
    </row>
    <row r="64" customFormat="false" ht="15" hidden="false" customHeight="false" outlineLevel="0" collapsed="false">
      <c r="B64" s="36"/>
      <c r="C64" s="37"/>
      <c r="D64" s="37"/>
      <c r="E64" s="37"/>
      <c r="F64" s="37"/>
      <c r="G64" s="30"/>
      <c r="H64" s="30"/>
      <c r="I64" s="37" t="str">
        <f aca="false">IF($H64="","",IF(IFERROR(VLOOKUP($C64,Settings!$B$6:$G$10,6,FALSE()),"")=$H64,"✓ Verified","✗ Invalid"))</f>
        <v/>
      </c>
      <c r="J64" s="30"/>
    </row>
    <row r="65" customFormat="false" ht="15" hidden="false" customHeight="false" outlineLevel="0" collapsed="false">
      <c r="B65" s="36"/>
      <c r="C65" s="37"/>
      <c r="D65" s="37"/>
      <c r="E65" s="37"/>
      <c r="F65" s="37"/>
      <c r="G65" s="30"/>
      <c r="H65" s="30"/>
      <c r="I65" s="37" t="str">
        <f aca="false">IF($H65="","",IF(IFERROR(VLOOKUP($C65,Settings!$B$6:$G$10,6,FALSE()),"")=$H65,"✓ Verified","✗ Invalid"))</f>
        <v/>
      </c>
      <c r="J65" s="30"/>
    </row>
    <row r="66" customFormat="false" ht="15" hidden="false" customHeight="false" outlineLevel="0" collapsed="false">
      <c r="B66" s="36"/>
      <c r="C66" s="37"/>
      <c r="D66" s="37"/>
      <c r="E66" s="37"/>
      <c r="F66" s="37"/>
      <c r="G66" s="30"/>
      <c r="H66" s="30"/>
      <c r="I66" s="37" t="str">
        <f aca="false">IF($H66="","",IF(IFERROR(VLOOKUP($C66,Settings!$B$6:$G$10,6,FALSE()),"")=$H66,"✓ Verified","✗ Invalid"))</f>
        <v/>
      </c>
      <c r="J66" s="30"/>
    </row>
    <row r="67" customFormat="false" ht="15" hidden="false" customHeight="false" outlineLevel="0" collapsed="false">
      <c r="B67" s="36"/>
      <c r="C67" s="37"/>
      <c r="D67" s="37"/>
      <c r="E67" s="37"/>
      <c r="F67" s="37"/>
      <c r="G67" s="30"/>
      <c r="H67" s="30"/>
      <c r="I67" s="37" t="str">
        <f aca="false">IF($H67="","",IF(IFERROR(VLOOKUP($C67,Settings!$B$6:$G$10,6,FALSE()),"")=$H67,"✓ Verified","✗ Invalid"))</f>
        <v/>
      </c>
      <c r="J67" s="30"/>
    </row>
    <row r="68" customFormat="false" ht="15" hidden="false" customHeight="false" outlineLevel="0" collapsed="false">
      <c r="B68" s="36"/>
      <c r="C68" s="37"/>
      <c r="D68" s="37"/>
      <c r="E68" s="37"/>
      <c r="F68" s="37"/>
      <c r="G68" s="30"/>
      <c r="H68" s="30"/>
      <c r="I68" s="37" t="str">
        <f aca="false">IF($H68="","",IF(IFERROR(VLOOKUP($C68,Settings!$B$6:$G$10,6,FALSE()),"")=$H68,"✓ Verified","✗ Invalid"))</f>
        <v/>
      </c>
      <c r="J68" s="30"/>
    </row>
    <row r="69" customFormat="false" ht="15" hidden="false" customHeight="false" outlineLevel="0" collapsed="false">
      <c r="B69" s="36"/>
      <c r="C69" s="37"/>
      <c r="D69" s="37"/>
      <c r="E69" s="37"/>
      <c r="F69" s="37"/>
      <c r="G69" s="30"/>
      <c r="H69" s="30"/>
      <c r="I69" s="37" t="str">
        <f aca="false">IF($H69="","",IF(IFERROR(VLOOKUP($C69,Settings!$B$6:$G$10,6,FALSE()),"")=$H69,"✓ Verified","✗ Invalid"))</f>
        <v/>
      </c>
      <c r="J69" s="30"/>
    </row>
    <row r="70" customFormat="false" ht="15" hidden="false" customHeight="false" outlineLevel="0" collapsed="false">
      <c r="B70" s="36"/>
      <c r="C70" s="37"/>
      <c r="D70" s="37"/>
      <c r="E70" s="37"/>
      <c r="F70" s="37"/>
      <c r="G70" s="30"/>
      <c r="H70" s="30"/>
      <c r="I70" s="37" t="str">
        <f aca="false">IF($H70="","",IF(IFERROR(VLOOKUP($C70,Settings!$B$6:$G$10,6,FALSE()),"")=$H70,"✓ Verified","✗ Invalid"))</f>
        <v/>
      </c>
      <c r="J70" s="30"/>
    </row>
    <row r="71" customFormat="false" ht="15" hidden="false" customHeight="false" outlineLevel="0" collapsed="false">
      <c r="B71" s="36"/>
      <c r="C71" s="37"/>
      <c r="D71" s="37"/>
      <c r="E71" s="37"/>
      <c r="F71" s="37"/>
      <c r="G71" s="30"/>
      <c r="H71" s="30"/>
      <c r="I71" s="37" t="str">
        <f aca="false">IF($H71="","",IF(IFERROR(VLOOKUP($C71,Settings!$B$6:$G$10,6,FALSE()),"")=$H71,"✓ Verified","✗ Invalid"))</f>
        <v/>
      </c>
      <c r="J71" s="30"/>
    </row>
    <row r="72" customFormat="false" ht="15" hidden="false" customHeight="false" outlineLevel="0" collapsed="false">
      <c r="B72" s="36"/>
      <c r="C72" s="37"/>
      <c r="D72" s="37"/>
      <c r="E72" s="37"/>
      <c r="F72" s="37"/>
      <c r="G72" s="30"/>
      <c r="H72" s="30"/>
      <c r="I72" s="37" t="str">
        <f aca="false">IF($H72="","",IF(IFERROR(VLOOKUP($C72,Settings!$B$6:$G$10,6,FALSE()),"")=$H72,"✓ Verified","✗ Invalid"))</f>
        <v/>
      </c>
      <c r="J72" s="30"/>
    </row>
    <row r="73" customFormat="false" ht="15" hidden="false" customHeight="false" outlineLevel="0" collapsed="false">
      <c r="B73" s="36"/>
      <c r="C73" s="37"/>
      <c r="D73" s="37"/>
      <c r="E73" s="37"/>
      <c r="F73" s="37"/>
      <c r="G73" s="30"/>
      <c r="H73" s="30"/>
      <c r="I73" s="37" t="str">
        <f aca="false">IF($H73="","",IF(IFERROR(VLOOKUP($C73,Settings!$B$6:$G$10,6,FALSE()),"")=$H73,"✓ Verified","✗ Invalid"))</f>
        <v/>
      </c>
      <c r="J73" s="30"/>
    </row>
    <row r="74" customFormat="false" ht="15" hidden="false" customHeight="false" outlineLevel="0" collapsed="false">
      <c r="B74" s="36"/>
      <c r="C74" s="37"/>
      <c r="D74" s="37"/>
      <c r="E74" s="37"/>
      <c r="F74" s="37"/>
      <c r="G74" s="30"/>
      <c r="H74" s="30"/>
      <c r="I74" s="37" t="str">
        <f aca="false">IF($H74="","",IF(IFERROR(VLOOKUP($C74,Settings!$B$6:$G$10,6,FALSE()),"")=$H74,"✓ Verified","✗ Invalid"))</f>
        <v/>
      </c>
      <c r="J74" s="30"/>
    </row>
    <row r="75" customFormat="false" ht="15" hidden="false" customHeight="false" outlineLevel="0" collapsed="false">
      <c r="B75" s="36"/>
      <c r="C75" s="37"/>
      <c r="D75" s="37"/>
      <c r="E75" s="37"/>
      <c r="F75" s="37"/>
      <c r="G75" s="30"/>
      <c r="H75" s="30"/>
      <c r="I75" s="37" t="str">
        <f aca="false">IF($H75="","",IF(IFERROR(VLOOKUP($C75,Settings!$B$6:$G$10,6,FALSE()),"")=$H75,"✓ Verified","✗ Invalid"))</f>
        <v/>
      </c>
      <c r="J75" s="30"/>
    </row>
    <row r="76" customFormat="false" ht="15" hidden="false" customHeight="false" outlineLevel="0" collapsed="false">
      <c r="B76" s="36"/>
      <c r="C76" s="37"/>
      <c r="D76" s="37"/>
      <c r="E76" s="37"/>
      <c r="F76" s="37"/>
      <c r="G76" s="30"/>
      <c r="H76" s="30"/>
      <c r="I76" s="37" t="str">
        <f aca="false">IF($H76="","",IF(IFERROR(VLOOKUP($C76,Settings!$B$6:$G$10,6,FALSE()),"")=$H76,"✓ Verified","✗ Invalid"))</f>
        <v/>
      </c>
      <c r="J76" s="30"/>
    </row>
    <row r="77" customFormat="false" ht="15" hidden="false" customHeight="false" outlineLevel="0" collapsed="false">
      <c r="B77" s="36"/>
      <c r="C77" s="37"/>
      <c r="D77" s="37"/>
      <c r="E77" s="37"/>
      <c r="F77" s="37"/>
      <c r="G77" s="30"/>
      <c r="H77" s="30"/>
      <c r="I77" s="37" t="str">
        <f aca="false">IF($H77="","",IF(IFERROR(VLOOKUP($C77,Settings!$B$6:$G$10,6,FALSE()),"")=$H77,"✓ Verified","✗ Invalid"))</f>
        <v/>
      </c>
      <c r="J77" s="30"/>
    </row>
    <row r="78" customFormat="false" ht="15" hidden="false" customHeight="false" outlineLevel="0" collapsed="false">
      <c r="B78" s="36"/>
      <c r="C78" s="37"/>
      <c r="D78" s="37"/>
      <c r="E78" s="37"/>
      <c r="F78" s="37"/>
      <c r="G78" s="30"/>
      <c r="H78" s="30"/>
      <c r="I78" s="37" t="str">
        <f aca="false">IF($H78="","",IF(IFERROR(VLOOKUP($C78,Settings!$B$6:$G$10,6,FALSE()),"")=$H78,"✓ Verified","✗ Invalid"))</f>
        <v/>
      </c>
      <c r="J78" s="30"/>
    </row>
    <row r="79" customFormat="false" ht="15" hidden="false" customHeight="false" outlineLevel="0" collapsed="false">
      <c r="B79" s="36"/>
      <c r="C79" s="37"/>
      <c r="D79" s="37"/>
      <c r="E79" s="37"/>
      <c r="F79" s="37"/>
      <c r="G79" s="30"/>
      <c r="H79" s="30"/>
      <c r="I79" s="37" t="str">
        <f aca="false">IF($H79="","",IF(IFERROR(VLOOKUP($C79,Settings!$B$6:$G$10,6,FALSE()),"")=$H79,"✓ Verified","✗ Invalid"))</f>
        <v/>
      </c>
      <c r="J79" s="30"/>
    </row>
    <row r="80" customFormat="false" ht="15" hidden="false" customHeight="false" outlineLevel="0" collapsed="false">
      <c r="B80" s="36"/>
      <c r="C80" s="37"/>
      <c r="D80" s="37"/>
      <c r="E80" s="37"/>
      <c r="F80" s="37"/>
      <c r="G80" s="30"/>
      <c r="H80" s="30"/>
      <c r="I80" s="37" t="str">
        <f aca="false">IF($H80="","",IF(IFERROR(VLOOKUP($C80,Settings!$B$6:$G$10,6,FALSE()),"")=$H80,"✓ Verified","✗ Invalid"))</f>
        <v/>
      </c>
      <c r="J80" s="30"/>
    </row>
    <row r="81" customFormat="false" ht="15" hidden="false" customHeight="false" outlineLevel="0" collapsed="false">
      <c r="B81" s="36"/>
      <c r="C81" s="37"/>
      <c r="D81" s="37"/>
      <c r="E81" s="37"/>
      <c r="F81" s="37"/>
      <c r="G81" s="30"/>
      <c r="H81" s="30"/>
      <c r="I81" s="37" t="str">
        <f aca="false">IF($H81="","",IF(IFERROR(VLOOKUP($C81,Settings!$B$6:$G$10,6,FALSE()),"")=$H81,"✓ Verified","✗ Invalid"))</f>
        <v/>
      </c>
      <c r="J81" s="30"/>
    </row>
    <row r="82" customFormat="false" ht="15" hidden="false" customHeight="false" outlineLevel="0" collapsed="false">
      <c r="B82" s="36"/>
      <c r="C82" s="37"/>
      <c r="D82" s="37"/>
      <c r="E82" s="37"/>
      <c r="F82" s="37"/>
      <c r="G82" s="30"/>
      <c r="H82" s="30"/>
      <c r="I82" s="37" t="str">
        <f aca="false">IF($H82="","",IF(IFERROR(VLOOKUP($C82,Settings!$B$6:$G$10,6,FALSE()),"")=$H82,"✓ Verified","✗ Invalid"))</f>
        <v/>
      </c>
      <c r="J82" s="30"/>
    </row>
    <row r="83" customFormat="false" ht="15" hidden="false" customHeight="false" outlineLevel="0" collapsed="false">
      <c r="B83" s="36"/>
      <c r="C83" s="37"/>
      <c r="D83" s="37"/>
      <c r="E83" s="37"/>
      <c r="F83" s="37"/>
      <c r="G83" s="30"/>
      <c r="H83" s="30"/>
      <c r="I83" s="37" t="str">
        <f aca="false">IF($H83="","",IF(IFERROR(VLOOKUP($C83,Settings!$B$6:$G$10,6,FALSE()),"")=$H83,"✓ Verified","✗ Invalid"))</f>
        <v/>
      </c>
      <c r="J83" s="30"/>
    </row>
    <row r="84" customFormat="false" ht="15" hidden="false" customHeight="false" outlineLevel="0" collapsed="false">
      <c r="B84" s="36"/>
      <c r="C84" s="37"/>
      <c r="D84" s="37"/>
      <c r="E84" s="37"/>
      <c r="F84" s="37"/>
      <c r="G84" s="30"/>
      <c r="H84" s="30"/>
      <c r="I84" s="37" t="str">
        <f aca="false">IF($H84="","",IF(IFERROR(VLOOKUP($C84,Settings!$B$6:$G$10,6,FALSE()),"")=$H84,"✓ Verified","✗ Invalid"))</f>
        <v/>
      </c>
      <c r="J84" s="30"/>
    </row>
    <row r="85" customFormat="false" ht="15" hidden="false" customHeight="false" outlineLevel="0" collapsed="false">
      <c r="B85" s="36"/>
      <c r="C85" s="37"/>
      <c r="D85" s="37"/>
      <c r="E85" s="37"/>
      <c r="F85" s="37"/>
      <c r="G85" s="30"/>
      <c r="H85" s="30"/>
      <c r="I85" s="37" t="str">
        <f aca="false">IF($H85="","",IF(IFERROR(VLOOKUP($C85,Settings!$B$6:$G$10,6,FALSE()),"")=$H85,"✓ Verified","✗ Invalid"))</f>
        <v/>
      </c>
      <c r="J85" s="30"/>
    </row>
    <row r="86" customFormat="false" ht="15" hidden="false" customHeight="false" outlineLevel="0" collapsed="false">
      <c r="B86" s="36"/>
      <c r="C86" s="37"/>
      <c r="D86" s="37"/>
      <c r="E86" s="37"/>
      <c r="F86" s="37"/>
      <c r="G86" s="30"/>
      <c r="H86" s="30"/>
      <c r="I86" s="37" t="str">
        <f aca="false">IF($H86="","",IF(IFERROR(VLOOKUP($C86,Settings!$B$6:$G$10,6,FALSE()),"")=$H86,"✓ Verified","✗ Invalid"))</f>
        <v/>
      </c>
      <c r="J86" s="30"/>
    </row>
    <row r="87" customFormat="false" ht="15" hidden="false" customHeight="false" outlineLevel="0" collapsed="false">
      <c r="B87" s="36"/>
      <c r="C87" s="37"/>
      <c r="D87" s="37"/>
      <c r="E87" s="37"/>
      <c r="F87" s="37"/>
      <c r="G87" s="30"/>
      <c r="H87" s="30"/>
      <c r="I87" s="37" t="str">
        <f aca="false">IF($H87="","",IF(IFERROR(VLOOKUP($C87,Settings!$B$6:$G$10,6,FALSE()),"")=$H87,"✓ Verified","✗ Invalid"))</f>
        <v/>
      </c>
      <c r="J87" s="30"/>
    </row>
    <row r="88" customFormat="false" ht="15" hidden="false" customHeight="false" outlineLevel="0" collapsed="false">
      <c r="B88" s="36"/>
      <c r="C88" s="37"/>
      <c r="D88" s="37"/>
      <c r="E88" s="37"/>
      <c r="F88" s="37"/>
      <c r="G88" s="30"/>
      <c r="H88" s="30"/>
      <c r="I88" s="37" t="str">
        <f aca="false">IF($H88="","",IF(IFERROR(VLOOKUP($C88,Settings!$B$6:$G$10,6,FALSE()),"")=$H88,"✓ Verified","✗ Invalid"))</f>
        <v/>
      </c>
      <c r="J88" s="30"/>
    </row>
    <row r="89" customFormat="false" ht="15" hidden="false" customHeight="false" outlineLevel="0" collapsed="false">
      <c r="B89" s="36"/>
      <c r="C89" s="37"/>
      <c r="D89" s="37"/>
      <c r="E89" s="37"/>
      <c r="F89" s="37"/>
      <c r="G89" s="30"/>
      <c r="H89" s="30"/>
      <c r="I89" s="37" t="str">
        <f aca="false">IF($H89="","",IF(IFERROR(VLOOKUP($C89,Settings!$B$6:$G$10,6,FALSE()),"")=$H89,"✓ Verified","✗ Invalid"))</f>
        <v/>
      </c>
      <c r="J89" s="30"/>
    </row>
    <row r="90" customFormat="false" ht="15" hidden="false" customHeight="false" outlineLevel="0" collapsed="false">
      <c r="B90" s="36"/>
      <c r="C90" s="37"/>
      <c r="D90" s="37"/>
      <c r="E90" s="37"/>
      <c r="F90" s="37"/>
      <c r="G90" s="30"/>
      <c r="H90" s="30"/>
      <c r="I90" s="37" t="str">
        <f aca="false">IF($H90="","",IF(IFERROR(VLOOKUP($C90,Settings!$B$6:$G$10,6,FALSE()),"")=$H90,"✓ Verified","✗ Invalid"))</f>
        <v/>
      </c>
      <c r="J90" s="30"/>
    </row>
    <row r="91" customFormat="false" ht="15" hidden="false" customHeight="false" outlineLevel="0" collapsed="false">
      <c r="B91" s="36"/>
      <c r="C91" s="37"/>
      <c r="D91" s="37"/>
      <c r="E91" s="37"/>
      <c r="F91" s="37"/>
      <c r="G91" s="30"/>
      <c r="H91" s="30"/>
      <c r="I91" s="37" t="str">
        <f aca="false">IF($H91="","",IF(IFERROR(VLOOKUP($C91,Settings!$B$6:$G$10,6,FALSE()),"")=$H91,"✓ Verified","✗ Invalid"))</f>
        <v/>
      </c>
      <c r="J91" s="30"/>
    </row>
    <row r="92" customFormat="false" ht="15" hidden="false" customHeight="false" outlineLevel="0" collapsed="false">
      <c r="B92" s="36"/>
      <c r="C92" s="37"/>
      <c r="D92" s="37"/>
      <c r="E92" s="37"/>
      <c r="F92" s="37"/>
      <c r="G92" s="30"/>
      <c r="H92" s="30"/>
      <c r="I92" s="37" t="str">
        <f aca="false">IF($H92="","",IF(IFERROR(VLOOKUP($C92,Settings!$B$6:$G$10,6,FALSE()),"")=$H92,"✓ Verified","✗ Invalid"))</f>
        <v/>
      </c>
      <c r="J92" s="30"/>
    </row>
    <row r="93" customFormat="false" ht="15" hidden="false" customHeight="false" outlineLevel="0" collapsed="false">
      <c r="B93" s="36"/>
      <c r="C93" s="37"/>
      <c r="D93" s="37"/>
      <c r="E93" s="37"/>
      <c r="F93" s="37"/>
      <c r="G93" s="30"/>
      <c r="H93" s="30"/>
      <c r="I93" s="37" t="str">
        <f aca="false">IF($H93="","",IF(IFERROR(VLOOKUP($C93,Settings!$B$6:$G$10,6,FALSE()),"")=$H93,"✓ Verified","✗ Invalid"))</f>
        <v/>
      </c>
      <c r="J93" s="30"/>
    </row>
    <row r="94" customFormat="false" ht="15" hidden="false" customHeight="false" outlineLevel="0" collapsed="false">
      <c r="B94" s="36"/>
      <c r="C94" s="37"/>
      <c r="D94" s="37"/>
      <c r="E94" s="37"/>
      <c r="F94" s="37"/>
      <c r="G94" s="30"/>
      <c r="H94" s="30"/>
      <c r="I94" s="37" t="str">
        <f aca="false">IF($H94="","",IF(IFERROR(VLOOKUP($C94,Settings!$B$6:$G$10,6,FALSE()),"")=$H94,"✓ Verified","✗ Invalid"))</f>
        <v/>
      </c>
      <c r="J94" s="30"/>
    </row>
    <row r="95" customFormat="false" ht="15" hidden="false" customHeight="false" outlineLevel="0" collapsed="false">
      <c r="B95" s="36"/>
      <c r="C95" s="37"/>
      <c r="D95" s="37"/>
      <c r="E95" s="37"/>
      <c r="F95" s="37"/>
      <c r="G95" s="30"/>
      <c r="H95" s="30"/>
      <c r="I95" s="37" t="str">
        <f aca="false">IF($H95="","",IF(IFERROR(VLOOKUP($C95,Settings!$B$6:$G$10,6,FALSE()),"")=$H95,"✓ Verified","✗ Invalid"))</f>
        <v/>
      </c>
      <c r="J95" s="30"/>
    </row>
    <row r="96" customFormat="false" ht="15" hidden="false" customHeight="false" outlineLevel="0" collapsed="false">
      <c r="B96" s="36"/>
      <c r="C96" s="37"/>
      <c r="D96" s="37"/>
      <c r="E96" s="37"/>
      <c r="F96" s="37"/>
      <c r="G96" s="30"/>
      <c r="H96" s="30"/>
      <c r="I96" s="37" t="str">
        <f aca="false">IF($H96="","",IF(IFERROR(VLOOKUP($C96,Settings!$B$6:$G$10,6,FALSE()),"")=$H96,"✓ Verified","✗ Invalid"))</f>
        <v/>
      </c>
      <c r="J96" s="30"/>
    </row>
    <row r="97" customFormat="false" ht="15" hidden="false" customHeight="false" outlineLevel="0" collapsed="false">
      <c r="B97" s="36"/>
      <c r="C97" s="37"/>
      <c r="D97" s="37"/>
      <c r="E97" s="37"/>
      <c r="F97" s="37"/>
      <c r="G97" s="30"/>
      <c r="H97" s="30"/>
      <c r="I97" s="37" t="str">
        <f aca="false">IF($H97="","",IF(IFERROR(VLOOKUP($C97,Settings!$B$6:$G$10,6,FALSE()),"")=$H97,"✓ Verified","✗ Invalid"))</f>
        <v/>
      </c>
      <c r="J97" s="30"/>
    </row>
    <row r="98" customFormat="false" ht="15" hidden="false" customHeight="false" outlineLevel="0" collapsed="false">
      <c r="B98" s="36"/>
      <c r="C98" s="37"/>
      <c r="D98" s="37"/>
      <c r="E98" s="37"/>
      <c r="F98" s="37"/>
      <c r="G98" s="30"/>
      <c r="H98" s="30"/>
      <c r="I98" s="37" t="str">
        <f aca="false">IF($H98="","",IF(IFERROR(VLOOKUP($C98,Settings!$B$6:$G$10,6,FALSE()),"")=$H98,"✓ Verified","✗ Invalid"))</f>
        <v/>
      </c>
      <c r="J98" s="30"/>
    </row>
    <row r="99" customFormat="false" ht="15" hidden="false" customHeight="false" outlineLevel="0" collapsed="false">
      <c r="B99" s="36"/>
      <c r="C99" s="37"/>
      <c r="D99" s="37"/>
      <c r="E99" s="37"/>
      <c r="F99" s="37"/>
      <c r="G99" s="30"/>
      <c r="H99" s="30"/>
      <c r="I99" s="37" t="str">
        <f aca="false">IF($H99="","",IF(IFERROR(VLOOKUP($C99,Settings!$B$6:$G$10,6,FALSE()),"")=$H99,"✓ Verified","✗ Invalid"))</f>
        <v/>
      </c>
      <c r="J99" s="30"/>
    </row>
    <row r="100" customFormat="false" ht="15" hidden="false" customHeight="false" outlineLevel="0" collapsed="false">
      <c r="B100" s="36"/>
      <c r="C100" s="37"/>
      <c r="D100" s="37"/>
      <c r="E100" s="37"/>
      <c r="F100" s="37"/>
      <c r="G100" s="30"/>
      <c r="H100" s="30"/>
      <c r="I100" s="37" t="str">
        <f aca="false">IF($H100="","",IF(IFERROR(VLOOKUP($C100,Settings!$B$6:$G$10,6,FALSE()),"")=$H100,"✓ Verified","✗ Invalid"))</f>
        <v/>
      </c>
      <c r="J100" s="30"/>
    </row>
  </sheetData>
  <autoFilter ref="B2:J100"/>
  <mergeCells count="1">
    <mergeCell ref="B1:J1"/>
  </mergeCells>
  <conditionalFormatting sqref="I3:I100">
    <cfRule type="cellIs" priority="2" operator="equal" aboveAverage="0" equalAverage="0" bottom="0" percent="0" rank="0" text="" dxfId="11">
      <formula>"✓ Verified"</formula>
    </cfRule>
    <cfRule type="cellIs" priority="3" operator="equal" aboveAverage="0" equalAverage="0" bottom="0" percent="0" rank="0" text="" dxfId="8">
      <formula>"✗ Invalid"</formula>
    </cfRule>
  </conditionalFormatting>
  <dataValidations count="1">
    <dataValidation allowBlank="true" errorStyle="stop" operator="between" showDropDown="false" showErrorMessage="false" showInputMessage="false" sqref="C3:C500 F3:G500" type="list">
      <formula1>Settings!$B$6:$B$10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9" min="5" style="0" width="14"/>
    <col collapsed="false" customWidth="true" hidden="false" outlineLevel="0" max="10" min="10" style="0" width="2"/>
    <col collapsed="false" customWidth="true" hidden="false" outlineLevel="0" max="11" min="11" style="0" width="14"/>
    <col collapsed="false" customWidth="true" hidden="false" outlineLevel="0" max="12" min="12" style="0" width="18"/>
  </cols>
  <sheetData>
    <row r="1" customFormat="false" ht="30" hidden="false" customHeight="true" outlineLevel="0" collapsed="false">
      <c r="B1" s="38" t="s">
        <v>91</v>
      </c>
      <c r="C1" s="38"/>
      <c r="D1" s="38"/>
      <c r="E1" s="38"/>
      <c r="F1" s="38"/>
      <c r="G1" s="38"/>
      <c r="H1" s="38"/>
      <c r="I1" s="38"/>
    </row>
    <row r="2" customFormat="false" ht="31.5" hidden="false" customHeight="true" outlineLevel="0" collapsed="false">
      <c r="B2" s="28" t="s">
        <v>92</v>
      </c>
      <c r="C2" s="28" t="s">
        <v>7</v>
      </c>
      <c r="D2" s="28" t="s">
        <v>8</v>
      </c>
      <c r="E2" s="28" t="s">
        <v>9</v>
      </c>
      <c r="F2" s="28" t="s">
        <v>10</v>
      </c>
      <c r="G2" s="28" t="s">
        <v>11</v>
      </c>
      <c r="H2" s="28" t="s">
        <v>12</v>
      </c>
      <c r="I2" s="28" t="s">
        <v>93</v>
      </c>
      <c r="K2" s="39" t="s">
        <v>92</v>
      </c>
      <c r="L2" s="39" t="s">
        <v>94</v>
      </c>
    </row>
    <row r="3" customFormat="false" ht="18" hidden="false" customHeight="true" outlineLevel="0" collapsed="false">
      <c r="B3" s="40" t="n">
        <v>46132</v>
      </c>
      <c r="C3" s="29" t="s">
        <v>15</v>
      </c>
      <c r="D3" s="41" t="n">
        <f aca="false">SUMIFS(Sales!$H:$H, Sales!$C:$C,$C3, Sales!$E:$E,"MEM",  Sales!$B:$B,"&gt;="&amp;$B3, Sales!$B:$B,"&lt;"&amp;$B3+1)</f>
        <v>0</v>
      </c>
      <c r="E3" s="41" t="n">
        <f aca="false">SUMIFS(Sales!$H:$H, Sales!$C:$C,$C3, Sales!$E:$E,"PT",   Sales!$B:$B,"&gt;="&amp;$B3, Sales!$B:$B,"&lt;"&amp;$B3+1)</f>
        <v>0</v>
      </c>
      <c r="F3" s="41" t="n">
        <f aca="false">SUMIFS(Sales!$H:$H, Sales!$C:$C,$C3, Sales!$E:$E,"Plan", Sales!$B:$B,"&gt;="&amp;$B3, Sales!$B:$B,"&lt;"&amp;$B3+1)</f>
        <v>0</v>
      </c>
      <c r="G3" s="42" t="n">
        <f aca="false">SUM(D3:F3)</f>
        <v>0</v>
      </c>
      <c r="H3" s="41" t="n">
        <f aca="false">COUNTIFS(Trainings!$C:$C,$C3, Trainings!$I:$I,"✓ Verified", Trainings!$B:$B,"&gt;="&amp;$B3, Trainings!$B:$B,"&lt;"&amp;$B3+1)</f>
        <v>0</v>
      </c>
      <c r="I3" s="41" t="n">
        <f aca="false">COUNTIFS(Sales!$C:$C,$C3, Sales!$B:$B,"&gt;="&amp;$B3, Sales!$B:$B,"&lt;"&amp;$B3+1)</f>
        <v>0</v>
      </c>
      <c r="K3" s="43" t="n">
        <v>46132</v>
      </c>
      <c r="L3" s="41" t="n">
        <f aca="false">SUMIFS(Sales!$H:$H, Sales!$E:$E, "&lt;&gt;Train", Sales!$B:$B,"&gt;="&amp;K3, Sales!$B:$B,"&lt;"&amp;K3+1)</f>
        <v>0</v>
      </c>
    </row>
    <row r="4" customFormat="false" ht="18" hidden="false" customHeight="true" outlineLevel="0" collapsed="false">
      <c r="B4" s="40" t="n">
        <v>46132</v>
      </c>
      <c r="C4" s="29" t="s">
        <v>16</v>
      </c>
      <c r="D4" s="41" t="n">
        <f aca="false">SUMIFS(Sales!$H:$H, Sales!$C:$C,$C4, Sales!$E:$E,"MEM",  Sales!$B:$B,"&gt;="&amp;$B4, Sales!$B:$B,"&lt;"&amp;$B4+1)</f>
        <v>0</v>
      </c>
      <c r="E4" s="41" t="n">
        <f aca="false">SUMIFS(Sales!$H:$H, Sales!$C:$C,$C4, Sales!$E:$E,"PT",   Sales!$B:$B,"&gt;="&amp;$B4, Sales!$B:$B,"&lt;"&amp;$B4+1)</f>
        <v>0</v>
      </c>
      <c r="F4" s="41" t="n">
        <f aca="false">SUMIFS(Sales!$H:$H, Sales!$C:$C,$C4, Sales!$E:$E,"Plan", Sales!$B:$B,"&gt;="&amp;$B4, Sales!$B:$B,"&lt;"&amp;$B4+1)</f>
        <v>0</v>
      </c>
      <c r="G4" s="42" t="n">
        <f aca="false">SUM(D4:F4)</f>
        <v>0</v>
      </c>
      <c r="H4" s="41" t="n">
        <f aca="false">COUNTIFS(Trainings!$C:$C,$C4, Trainings!$I:$I,"✓ Verified", Trainings!$B:$B,"&gt;="&amp;$B4, Trainings!$B:$B,"&lt;"&amp;$B4+1)</f>
        <v>0</v>
      </c>
      <c r="I4" s="41" t="n">
        <f aca="false">COUNTIFS(Sales!$C:$C,$C4, Sales!$B:$B,"&gt;="&amp;$B4, Sales!$B:$B,"&lt;"&amp;$B4+1)</f>
        <v>0</v>
      </c>
      <c r="K4" s="43" t="n">
        <v>46133</v>
      </c>
      <c r="L4" s="41" t="n">
        <f aca="false">SUMIFS(Sales!$H:$H, Sales!$E:$E, "&lt;&gt;Train", Sales!$B:$B,"&gt;="&amp;K4, Sales!$B:$B,"&lt;"&amp;K4+1)</f>
        <v>0</v>
      </c>
    </row>
    <row r="5" customFormat="false" ht="18" hidden="false" customHeight="true" outlineLevel="0" collapsed="false">
      <c r="B5" s="40" t="n">
        <v>46132</v>
      </c>
      <c r="C5" s="29" t="s">
        <v>17</v>
      </c>
      <c r="D5" s="41" t="n">
        <f aca="false">SUMIFS(Sales!$H:$H, Sales!$C:$C,$C5, Sales!$E:$E,"MEM",  Sales!$B:$B,"&gt;="&amp;$B5, Sales!$B:$B,"&lt;"&amp;$B5+1)</f>
        <v>0</v>
      </c>
      <c r="E5" s="41" t="n">
        <f aca="false">SUMIFS(Sales!$H:$H, Sales!$C:$C,$C5, Sales!$E:$E,"PT",   Sales!$B:$B,"&gt;="&amp;$B5, Sales!$B:$B,"&lt;"&amp;$B5+1)</f>
        <v>0</v>
      </c>
      <c r="F5" s="41" t="n">
        <f aca="false">SUMIFS(Sales!$H:$H, Sales!$C:$C,$C5, Sales!$E:$E,"Plan", Sales!$B:$B,"&gt;="&amp;$B5, Sales!$B:$B,"&lt;"&amp;$B5+1)</f>
        <v>0</v>
      </c>
      <c r="G5" s="42" t="n">
        <f aca="false">SUM(D5:F5)</f>
        <v>0</v>
      </c>
      <c r="H5" s="41" t="n">
        <f aca="false">COUNTIFS(Trainings!$C:$C,$C5, Trainings!$I:$I,"✓ Verified", Trainings!$B:$B,"&gt;="&amp;$B5, Trainings!$B:$B,"&lt;"&amp;$B5+1)</f>
        <v>0</v>
      </c>
      <c r="I5" s="41" t="n">
        <f aca="false">COUNTIFS(Sales!$C:$C,$C5, Sales!$B:$B,"&gt;="&amp;$B5, Sales!$B:$B,"&lt;"&amp;$B5+1)</f>
        <v>0</v>
      </c>
      <c r="K5" s="43" t="n">
        <v>46134</v>
      </c>
      <c r="L5" s="41" t="n">
        <f aca="false">SUMIFS(Sales!$H:$H, Sales!$E:$E, "&lt;&gt;Train", Sales!$B:$B,"&gt;="&amp;K5, Sales!$B:$B,"&lt;"&amp;K5+1)</f>
        <v>0</v>
      </c>
    </row>
    <row r="6" customFormat="false" ht="18" hidden="false" customHeight="true" outlineLevel="0" collapsed="false">
      <c r="B6" s="40" t="n">
        <v>46133</v>
      </c>
      <c r="C6" s="29" t="s">
        <v>15</v>
      </c>
      <c r="D6" s="41" t="n">
        <f aca="false">SUMIFS(Sales!$H:$H, Sales!$C:$C,$C6, Sales!$E:$E,"MEM",  Sales!$B:$B,"&gt;="&amp;$B6, Sales!$B:$B,"&lt;"&amp;$B6+1)</f>
        <v>0</v>
      </c>
      <c r="E6" s="41" t="n">
        <f aca="false">SUMIFS(Sales!$H:$H, Sales!$C:$C,$C6, Sales!$E:$E,"PT",   Sales!$B:$B,"&gt;="&amp;$B6, Sales!$B:$B,"&lt;"&amp;$B6+1)</f>
        <v>0</v>
      </c>
      <c r="F6" s="41" t="n">
        <f aca="false">SUMIFS(Sales!$H:$H, Sales!$C:$C,$C6, Sales!$E:$E,"Plan", Sales!$B:$B,"&gt;="&amp;$B6, Sales!$B:$B,"&lt;"&amp;$B6+1)</f>
        <v>0</v>
      </c>
      <c r="G6" s="42" t="n">
        <f aca="false">SUM(D6:F6)</f>
        <v>0</v>
      </c>
      <c r="H6" s="41" t="n">
        <f aca="false">COUNTIFS(Trainings!$C:$C,$C6, Trainings!$I:$I,"✓ Verified", Trainings!$B:$B,"&gt;="&amp;$B6, Trainings!$B:$B,"&lt;"&amp;$B6+1)</f>
        <v>0</v>
      </c>
      <c r="I6" s="41" t="n">
        <f aca="false">COUNTIFS(Sales!$C:$C,$C6, Sales!$B:$B,"&gt;="&amp;$B6, Sales!$B:$B,"&lt;"&amp;$B6+1)</f>
        <v>0</v>
      </c>
      <c r="K6" s="43" t="n">
        <v>46135</v>
      </c>
      <c r="L6" s="41" t="n">
        <f aca="false">SUMIFS(Sales!$H:$H, Sales!$E:$E, "&lt;&gt;Train", Sales!$B:$B,"&gt;="&amp;K6, Sales!$B:$B,"&lt;"&amp;K6+1)</f>
        <v>0</v>
      </c>
    </row>
    <row r="7" customFormat="false" ht="18" hidden="false" customHeight="true" outlineLevel="0" collapsed="false">
      <c r="B7" s="40" t="n">
        <v>46133</v>
      </c>
      <c r="C7" s="29" t="s">
        <v>16</v>
      </c>
      <c r="D7" s="41" t="n">
        <f aca="false">SUMIFS(Sales!$H:$H, Sales!$C:$C,$C7, Sales!$E:$E,"MEM",  Sales!$B:$B,"&gt;="&amp;$B7, Sales!$B:$B,"&lt;"&amp;$B7+1)</f>
        <v>0</v>
      </c>
      <c r="E7" s="41" t="n">
        <f aca="false">SUMIFS(Sales!$H:$H, Sales!$C:$C,$C7, Sales!$E:$E,"PT",   Sales!$B:$B,"&gt;="&amp;$B7, Sales!$B:$B,"&lt;"&amp;$B7+1)</f>
        <v>0</v>
      </c>
      <c r="F7" s="41" t="n">
        <f aca="false">SUMIFS(Sales!$H:$H, Sales!$C:$C,$C7, Sales!$E:$E,"Plan", Sales!$B:$B,"&gt;="&amp;$B7, Sales!$B:$B,"&lt;"&amp;$B7+1)</f>
        <v>0</v>
      </c>
      <c r="G7" s="42" t="n">
        <f aca="false">SUM(D7:F7)</f>
        <v>0</v>
      </c>
      <c r="H7" s="41" t="n">
        <f aca="false">COUNTIFS(Trainings!$C:$C,$C7, Trainings!$I:$I,"✓ Verified", Trainings!$B:$B,"&gt;="&amp;$B7, Trainings!$B:$B,"&lt;"&amp;$B7+1)</f>
        <v>0</v>
      </c>
      <c r="I7" s="41" t="n">
        <f aca="false">COUNTIFS(Sales!$C:$C,$C7, Sales!$B:$B,"&gt;="&amp;$B7, Sales!$B:$B,"&lt;"&amp;$B7+1)</f>
        <v>0</v>
      </c>
      <c r="K7" s="43" t="n">
        <v>46136</v>
      </c>
      <c r="L7" s="41" t="n">
        <f aca="false">SUMIFS(Sales!$H:$H, Sales!$E:$E, "&lt;&gt;Train", Sales!$B:$B,"&gt;="&amp;K7, Sales!$B:$B,"&lt;"&amp;K7+1)</f>
        <v>0</v>
      </c>
    </row>
    <row r="8" customFormat="false" ht="18" hidden="false" customHeight="true" outlineLevel="0" collapsed="false">
      <c r="B8" s="40" t="n">
        <v>46133</v>
      </c>
      <c r="C8" s="29" t="s">
        <v>17</v>
      </c>
      <c r="D8" s="41" t="n">
        <f aca="false">SUMIFS(Sales!$H:$H, Sales!$C:$C,$C8, Sales!$E:$E,"MEM",  Sales!$B:$B,"&gt;="&amp;$B8, Sales!$B:$B,"&lt;"&amp;$B8+1)</f>
        <v>0</v>
      </c>
      <c r="E8" s="41" t="n">
        <f aca="false">SUMIFS(Sales!$H:$H, Sales!$C:$C,$C8, Sales!$E:$E,"PT",   Sales!$B:$B,"&gt;="&amp;$B8, Sales!$B:$B,"&lt;"&amp;$B8+1)</f>
        <v>0</v>
      </c>
      <c r="F8" s="41" t="n">
        <f aca="false">SUMIFS(Sales!$H:$H, Sales!$C:$C,$C8, Sales!$E:$E,"Plan", Sales!$B:$B,"&gt;="&amp;$B8, Sales!$B:$B,"&lt;"&amp;$B8+1)</f>
        <v>0</v>
      </c>
      <c r="G8" s="42" t="n">
        <f aca="false">SUM(D8:F8)</f>
        <v>0</v>
      </c>
      <c r="H8" s="41" t="n">
        <f aca="false">COUNTIFS(Trainings!$C:$C,$C8, Trainings!$I:$I,"✓ Verified", Trainings!$B:$B,"&gt;="&amp;$B8, Trainings!$B:$B,"&lt;"&amp;$B8+1)</f>
        <v>0</v>
      </c>
      <c r="I8" s="41" t="n">
        <f aca="false">COUNTIFS(Sales!$C:$C,$C8, Sales!$B:$B,"&gt;="&amp;$B8, Sales!$B:$B,"&lt;"&amp;$B8+1)</f>
        <v>0</v>
      </c>
      <c r="K8" s="43" t="n">
        <v>46137</v>
      </c>
      <c r="L8" s="41" t="n">
        <f aca="false">SUMIFS(Sales!$H:$H, Sales!$E:$E, "&lt;&gt;Train", Sales!$B:$B,"&gt;="&amp;K8, Sales!$B:$B,"&lt;"&amp;K8+1)</f>
        <v>0</v>
      </c>
    </row>
    <row r="9" customFormat="false" ht="18" hidden="false" customHeight="true" outlineLevel="0" collapsed="false">
      <c r="B9" s="40" t="n">
        <v>46134</v>
      </c>
      <c r="C9" s="29" t="s">
        <v>15</v>
      </c>
      <c r="D9" s="41" t="n">
        <f aca="false">SUMIFS(Sales!$H:$H, Sales!$C:$C,$C9, Sales!$E:$E,"MEM",  Sales!$B:$B,"&gt;="&amp;$B9, Sales!$B:$B,"&lt;"&amp;$B9+1)</f>
        <v>0</v>
      </c>
      <c r="E9" s="41" t="n">
        <f aca="false">SUMIFS(Sales!$H:$H, Sales!$C:$C,$C9, Sales!$E:$E,"PT",   Sales!$B:$B,"&gt;="&amp;$B9, Sales!$B:$B,"&lt;"&amp;$B9+1)</f>
        <v>0</v>
      </c>
      <c r="F9" s="41" t="n">
        <f aca="false">SUMIFS(Sales!$H:$H, Sales!$C:$C,$C9, Sales!$E:$E,"Plan", Sales!$B:$B,"&gt;="&amp;$B9, Sales!$B:$B,"&lt;"&amp;$B9+1)</f>
        <v>0</v>
      </c>
      <c r="G9" s="42" t="n">
        <f aca="false">SUM(D9:F9)</f>
        <v>0</v>
      </c>
      <c r="H9" s="41" t="n">
        <f aca="false">COUNTIFS(Trainings!$C:$C,$C9, Trainings!$I:$I,"✓ Verified", Trainings!$B:$B,"&gt;="&amp;$B9, Trainings!$B:$B,"&lt;"&amp;$B9+1)</f>
        <v>0</v>
      </c>
      <c r="I9" s="41" t="n">
        <f aca="false">COUNTIFS(Sales!$C:$C,$C9, Sales!$B:$B,"&gt;="&amp;$B9, Sales!$B:$B,"&lt;"&amp;$B9+1)</f>
        <v>0</v>
      </c>
      <c r="K9" s="43" t="n">
        <v>46138</v>
      </c>
      <c r="L9" s="41" t="n">
        <f aca="false">SUMIFS(Sales!$H:$H, Sales!$E:$E, "&lt;&gt;Train", Sales!$B:$B,"&gt;="&amp;K9, Sales!$B:$B,"&lt;"&amp;K9+1)</f>
        <v>0</v>
      </c>
    </row>
    <row r="10" customFormat="false" ht="18" hidden="false" customHeight="true" outlineLevel="0" collapsed="false">
      <c r="B10" s="40" t="n">
        <v>46134</v>
      </c>
      <c r="C10" s="29" t="s">
        <v>16</v>
      </c>
      <c r="D10" s="41" t="n">
        <f aca="false">SUMIFS(Sales!$H:$H, Sales!$C:$C,$C10, Sales!$E:$E,"MEM",  Sales!$B:$B,"&gt;="&amp;$B10, Sales!$B:$B,"&lt;"&amp;$B10+1)</f>
        <v>0</v>
      </c>
      <c r="E10" s="41" t="n">
        <f aca="false">SUMIFS(Sales!$H:$H, Sales!$C:$C,$C10, Sales!$E:$E,"PT",   Sales!$B:$B,"&gt;="&amp;$B10, Sales!$B:$B,"&lt;"&amp;$B10+1)</f>
        <v>0</v>
      </c>
      <c r="F10" s="41" t="n">
        <f aca="false">SUMIFS(Sales!$H:$H, Sales!$C:$C,$C10, Sales!$E:$E,"Plan", Sales!$B:$B,"&gt;="&amp;$B10, Sales!$B:$B,"&lt;"&amp;$B10+1)</f>
        <v>0</v>
      </c>
      <c r="G10" s="42" t="n">
        <f aca="false">SUM(D10:F10)</f>
        <v>0</v>
      </c>
      <c r="H10" s="41" t="n">
        <f aca="false">COUNTIFS(Trainings!$C:$C,$C10, Trainings!$I:$I,"✓ Verified", Trainings!$B:$B,"&gt;="&amp;$B10, Trainings!$B:$B,"&lt;"&amp;$B10+1)</f>
        <v>0</v>
      </c>
      <c r="I10" s="41" t="n">
        <f aca="false">COUNTIFS(Sales!$C:$C,$C10, Sales!$B:$B,"&gt;="&amp;$B10, Sales!$B:$B,"&lt;"&amp;$B10+1)</f>
        <v>0</v>
      </c>
      <c r="K10" s="43" t="n">
        <v>46139</v>
      </c>
      <c r="L10" s="41" t="n">
        <f aca="false">SUMIFS(Sales!$H:$H, Sales!$E:$E, "&lt;&gt;Train", Sales!$B:$B,"&gt;="&amp;K10, Sales!$B:$B,"&lt;"&amp;K10+1)</f>
        <v>0</v>
      </c>
    </row>
    <row r="11" customFormat="false" ht="18" hidden="false" customHeight="true" outlineLevel="0" collapsed="false">
      <c r="B11" s="40" t="n">
        <v>46134</v>
      </c>
      <c r="C11" s="29" t="s">
        <v>17</v>
      </c>
      <c r="D11" s="41" t="n">
        <f aca="false">SUMIFS(Sales!$H:$H, Sales!$C:$C,$C11, Sales!$E:$E,"MEM",  Sales!$B:$B,"&gt;="&amp;$B11, Sales!$B:$B,"&lt;"&amp;$B11+1)</f>
        <v>0</v>
      </c>
      <c r="E11" s="41" t="n">
        <f aca="false">SUMIFS(Sales!$H:$H, Sales!$C:$C,$C11, Sales!$E:$E,"PT",   Sales!$B:$B,"&gt;="&amp;$B11, Sales!$B:$B,"&lt;"&amp;$B11+1)</f>
        <v>0</v>
      </c>
      <c r="F11" s="41" t="n">
        <f aca="false">SUMIFS(Sales!$H:$H, Sales!$C:$C,$C11, Sales!$E:$E,"Plan", Sales!$B:$B,"&gt;="&amp;$B11, Sales!$B:$B,"&lt;"&amp;$B11+1)</f>
        <v>0</v>
      </c>
      <c r="G11" s="42" t="n">
        <f aca="false">SUM(D11:F11)</f>
        <v>0</v>
      </c>
      <c r="H11" s="41" t="n">
        <f aca="false">COUNTIFS(Trainings!$C:$C,$C11, Trainings!$I:$I,"✓ Verified", Trainings!$B:$B,"&gt;="&amp;$B11, Trainings!$B:$B,"&lt;"&amp;$B11+1)</f>
        <v>0</v>
      </c>
      <c r="I11" s="41" t="n">
        <f aca="false">COUNTIFS(Sales!$C:$C,$C11, Sales!$B:$B,"&gt;="&amp;$B11, Sales!$B:$B,"&lt;"&amp;$B11+1)</f>
        <v>0</v>
      </c>
      <c r="K11" s="43" t="n">
        <v>46140</v>
      </c>
      <c r="L11" s="41" t="n">
        <f aca="false">SUMIFS(Sales!$H:$H, Sales!$E:$E, "&lt;&gt;Train", Sales!$B:$B,"&gt;="&amp;K11, Sales!$B:$B,"&lt;"&amp;K11+1)</f>
        <v>0</v>
      </c>
    </row>
    <row r="12" customFormat="false" ht="18" hidden="false" customHeight="true" outlineLevel="0" collapsed="false">
      <c r="B12" s="40" t="n">
        <v>46135</v>
      </c>
      <c r="C12" s="29" t="s">
        <v>15</v>
      </c>
      <c r="D12" s="41" t="n">
        <f aca="false">SUMIFS(Sales!$H:$H, Sales!$C:$C,$C12, Sales!$E:$E,"MEM",  Sales!$B:$B,"&gt;="&amp;$B12, Sales!$B:$B,"&lt;"&amp;$B12+1)</f>
        <v>0</v>
      </c>
      <c r="E12" s="41" t="n">
        <f aca="false">SUMIFS(Sales!$H:$H, Sales!$C:$C,$C12, Sales!$E:$E,"PT",   Sales!$B:$B,"&gt;="&amp;$B12, Sales!$B:$B,"&lt;"&amp;$B12+1)</f>
        <v>0</v>
      </c>
      <c r="F12" s="41" t="n">
        <f aca="false">SUMIFS(Sales!$H:$H, Sales!$C:$C,$C12, Sales!$E:$E,"Plan", Sales!$B:$B,"&gt;="&amp;$B12, Sales!$B:$B,"&lt;"&amp;$B12+1)</f>
        <v>0</v>
      </c>
      <c r="G12" s="42" t="n">
        <f aca="false">SUM(D12:F12)</f>
        <v>0</v>
      </c>
      <c r="H12" s="41" t="n">
        <f aca="false">COUNTIFS(Trainings!$C:$C,$C12, Trainings!$I:$I,"✓ Verified", Trainings!$B:$B,"&gt;="&amp;$B12, Trainings!$B:$B,"&lt;"&amp;$B12+1)</f>
        <v>0</v>
      </c>
      <c r="I12" s="41" t="n">
        <f aca="false">COUNTIFS(Sales!$C:$C,$C12, Sales!$B:$B,"&gt;="&amp;$B12, Sales!$B:$B,"&lt;"&amp;$B12+1)</f>
        <v>0</v>
      </c>
      <c r="K12" s="43" t="n">
        <v>46141</v>
      </c>
      <c r="L12" s="41" t="n">
        <f aca="false">SUMIFS(Sales!$H:$H, Sales!$E:$E, "&lt;&gt;Train", Sales!$B:$B,"&gt;="&amp;K12, Sales!$B:$B,"&lt;"&amp;K12+1)</f>
        <v>0</v>
      </c>
    </row>
    <row r="13" customFormat="false" ht="18" hidden="false" customHeight="true" outlineLevel="0" collapsed="false">
      <c r="B13" s="40" t="n">
        <v>46135</v>
      </c>
      <c r="C13" s="29" t="s">
        <v>16</v>
      </c>
      <c r="D13" s="41" t="n">
        <f aca="false">SUMIFS(Sales!$H:$H, Sales!$C:$C,$C13, Sales!$E:$E,"MEM",  Sales!$B:$B,"&gt;="&amp;$B13, Sales!$B:$B,"&lt;"&amp;$B13+1)</f>
        <v>0</v>
      </c>
      <c r="E13" s="41" t="n">
        <f aca="false">SUMIFS(Sales!$H:$H, Sales!$C:$C,$C13, Sales!$E:$E,"PT",   Sales!$B:$B,"&gt;="&amp;$B13, Sales!$B:$B,"&lt;"&amp;$B13+1)</f>
        <v>0</v>
      </c>
      <c r="F13" s="41" t="n">
        <f aca="false">SUMIFS(Sales!$H:$H, Sales!$C:$C,$C13, Sales!$E:$E,"Plan", Sales!$B:$B,"&gt;="&amp;$B13, Sales!$B:$B,"&lt;"&amp;$B13+1)</f>
        <v>0</v>
      </c>
      <c r="G13" s="42" t="n">
        <f aca="false">SUM(D13:F13)</f>
        <v>0</v>
      </c>
      <c r="H13" s="41" t="n">
        <f aca="false">COUNTIFS(Trainings!$C:$C,$C13, Trainings!$I:$I,"✓ Verified", Trainings!$B:$B,"&gt;="&amp;$B13, Trainings!$B:$B,"&lt;"&amp;$B13+1)</f>
        <v>0</v>
      </c>
      <c r="I13" s="41" t="n">
        <f aca="false">COUNTIFS(Sales!$C:$C,$C13, Sales!$B:$B,"&gt;="&amp;$B13, Sales!$B:$B,"&lt;"&amp;$B13+1)</f>
        <v>0</v>
      </c>
      <c r="K13" s="43" t="n">
        <v>46142</v>
      </c>
      <c r="L13" s="41" t="n">
        <f aca="false">SUMIFS(Sales!$H:$H, Sales!$E:$E, "&lt;&gt;Train", Sales!$B:$B,"&gt;="&amp;K13, Sales!$B:$B,"&lt;"&amp;K13+1)</f>
        <v>0</v>
      </c>
    </row>
    <row r="14" customFormat="false" ht="18" hidden="false" customHeight="true" outlineLevel="0" collapsed="false">
      <c r="B14" s="40" t="n">
        <v>46135</v>
      </c>
      <c r="C14" s="29" t="s">
        <v>17</v>
      </c>
      <c r="D14" s="41" t="n">
        <f aca="false">SUMIFS(Sales!$H:$H, Sales!$C:$C,$C14, Sales!$E:$E,"MEM",  Sales!$B:$B,"&gt;="&amp;$B14, Sales!$B:$B,"&lt;"&amp;$B14+1)</f>
        <v>0</v>
      </c>
      <c r="E14" s="41" t="n">
        <f aca="false">SUMIFS(Sales!$H:$H, Sales!$C:$C,$C14, Sales!$E:$E,"PT",   Sales!$B:$B,"&gt;="&amp;$B14, Sales!$B:$B,"&lt;"&amp;$B14+1)</f>
        <v>0</v>
      </c>
      <c r="F14" s="41" t="n">
        <f aca="false">SUMIFS(Sales!$H:$H, Sales!$C:$C,$C14, Sales!$E:$E,"Plan", Sales!$B:$B,"&gt;="&amp;$B14, Sales!$B:$B,"&lt;"&amp;$B14+1)</f>
        <v>0</v>
      </c>
      <c r="G14" s="42" t="n">
        <f aca="false">SUM(D14:F14)</f>
        <v>0</v>
      </c>
      <c r="H14" s="41" t="n">
        <f aca="false">COUNTIFS(Trainings!$C:$C,$C14, Trainings!$I:$I,"✓ Verified", Trainings!$B:$B,"&gt;="&amp;$B14, Trainings!$B:$B,"&lt;"&amp;$B14+1)</f>
        <v>0</v>
      </c>
      <c r="I14" s="41" t="n">
        <f aca="false">COUNTIFS(Sales!$C:$C,$C14, Sales!$B:$B,"&gt;="&amp;$B14, Sales!$B:$B,"&lt;"&amp;$B14+1)</f>
        <v>0</v>
      </c>
      <c r="K14" s="43" t="n">
        <v>46143</v>
      </c>
      <c r="L14" s="41" t="n">
        <f aca="false">SUMIFS(Sales!$H:$H, Sales!$E:$E, "&lt;&gt;Train", Sales!$B:$B,"&gt;="&amp;K14, Sales!$B:$B,"&lt;"&amp;K14+1)</f>
        <v>0</v>
      </c>
    </row>
    <row r="15" customFormat="false" ht="18" hidden="false" customHeight="true" outlineLevel="0" collapsed="false">
      <c r="B15" s="40" t="n">
        <v>46136</v>
      </c>
      <c r="C15" s="29" t="s">
        <v>15</v>
      </c>
      <c r="D15" s="41" t="n">
        <f aca="false">SUMIFS(Sales!$H:$H, Sales!$C:$C,$C15, Sales!$E:$E,"MEM",  Sales!$B:$B,"&gt;="&amp;$B15, Sales!$B:$B,"&lt;"&amp;$B15+1)</f>
        <v>0</v>
      </c>
      <c r="E15" s="41" t="n">
        <f aca="false">SUMIFS(Sales!$H:$H, Sales!$C:$C,$C15, Sales!$E:$E,"PT",   Sales!$B:$B,"&gt;="&amp;$B15, Sales!$B:$B,"&lt;"&amp;$B15+1)</f>
        <v>0</v>
      </c>
      <c r="F15" s="41" t="n">
        <f aca="false">SUMIFS(Sales!$H:$H, Sales!$C:$C,$C15, Sales!$E:$E,"Plan", Sales!$B:$B,"&gt;="&amp;$B15, Sales!$B:$B,"&lt;"&amp;$B15+1)</f>
        <v>0</v>
      </c>
      <c r="G15" s="42" t="n">
        <f aca="false">SUM(D15:F15)</f>
        <v>0</v>
      </c>
      <c r="H15" s="41" t="n">
        <f aca="false">COUNTIFS(Trainings!$C:$C,$C15, Trainings!$I:$I,"✓ Verified", Trainings!$B:$B,"&gt;="&amp;$B15, Trainings!$B:$B,"&lt;"&amp;$B15+1)</f>
        <v>0</v>
      </c>
      <c r="I15" s="41" t="n">
        <f aca="false">COUNTIFS(Sales!$C:$C,$C15, Sales!$B:$B,"&gt;="&amp;$B15, Sales!$B:$B,"&lt;"&amp;$B15+1)</f>
        <v>0</v>
      </c>
      <c r="K15" s="43" t="n">
        <v>46144</v>
      </c>
      <c r="L15" s="41" t="n">
        <f aca="false">SUMIFS(Sales!$H:$H, Sales!$E:$E, "&lt;&gt;Train", Sales!$B:$B,"&gt;="&amp;K15, Sales!$B:$B,"&lt;"&amp;K15+1)</f>
        <v>0</v>
      </c>
    </row>
    <row r="16" customFormat="false" ht="18" hidden="false" customHeight="true" outlineLevel="0" collapsed="false">
      <c r="B16" s="40" t="n">
        <v>46136</v>
      </c>
      <c r="C16" s="29" t="s">
        <v>16</v>
      </c>
      <c r="D16" s="41" t="n">
        <f aca="false">SUMIFS(Sales!$H:$H, Sales!$C:$C,$C16, Sales!$E:$E,"MEM",  Sales!$B:$B,"&gt;="&amp;$B16, Sales!$B:$B,"&lt;"&amp;$B16+1)</f>
        <v>0</v>
      </c>
      <c r="E16" s="41" t="n">
        <f aca="false">SUMIFS(Sales!$H:$H, Sales!$C:$C,$C16, Sales!$E:$E,"PT",   Sales!$B:$B,"&gt;="&amp;$B16, Sales!$B:$B,"&lt;"&amp;$B16+1)</f>
        <v>0</v>
      </c>
      <c r="F16" s="41" t="n">
        <f aca="false">SUMIFS(Sales!$H:$H, Sales!$C:$C,$C16, Sales!$E:$E,"Plan", Sales!$B:$B,"&gt;="&amp;$B16, Sales!$B:$B,"&lt;"&amp;$B16+1)</f>
        <v>0</v>
      </c>
      <c r="G16" s="42" t="n">
        <f aca="false">SUM(D16:F16)</f>
        <v>0</v>
      </c>
      <c r="H16" s="41" t="n">
        <f aca="false">COUNTIFS(Trainings!$C:$C,$C16, Trainings!$I:$I,"✓ Verified", Trainings!$B:$B,"&gt;="&amp;$B16, Trainings!$B:$B,"&lt;"&amp;$B16+1)</f>
        <v>0</v>
      </c>
      <c r="I16" s="41" t="n">
        <f aca="false">COUNTIFS(Sales!$C:$C,$C16, Sales!$B:$B,"&gt;="&amp;$B16, Sales!$B:$B,"&lt;"&amp;$B16+1)</f>
        <v>0</v>
      </c>
      <c r="K16" s="43" t="n">
        <v>46145</v>
      </c>
      <c r="L16" s="41" t="n">
        <f aca="false">SUMIFS(Sales!$H:$H, Sales!$E:$E, "&lt;&gt;Train", Sales!$B:$B,"&gt;="&amp;K16, Sales!$B:$B,"&lt;"&amp;K16+1)</f>
        <v>20500</v>
      </c>
    </row>
    <row r="17" customFormat="false" ht="18" hidden="false" customHeight="true" outlineLevel="0" collapsed="false">
      <c r="B17" s="40" t="n">
        <v>46136</v>
      </c>
      <c r="C17" s="29" t="s">
        <v>17</v>
      </c>
      <c r="D17" s="41" t="n">
        <f aca="false">SUMIFS(Sales!$H:$H, Sales!$C:$C,$C17, Sales!$E:$E,"MEM",  Sales!$B:$B,"&gt;="&amp;$B17, Sales!$B:$B,"&lt;"&amp;$B17+1)</f>
        <v>0</v>
      </c>
      <c r="E17" s="41" t="n">
        <f aca="false">SUMIFS(Sales!$H:$H, Sales!$C:$C,$C17, Sales!$E:$E,"PT",   Sales!$B:$B,"&gt;="&amp;$B17, Sales!$B:$B,"&lt;"&amp;$B17+1)</f>
        <v>0</v>
      </c>
      <c r="F17" s="41" t="n">
        <f aca="false">SUMIFS(Sales!$H:$H, Sales!$C:$C,$C17, Sales!$E:$E,"Plan", Sales!$B:$B,"&gt;="&amp;$B17, Sales!$B:$B,"&lt;"&amp;$B17+1)</f>
        <v>0</v>
      </c>
      <c r="G17" s="42" t="n">
        <f aca="false">SUM(D17:F17)</f>
        <v>0</v>
      </c>
      <c r="H17" s="41" t="n">
        <f aca="false">COUNTIFS(Trainings!$C:$C,$C17, Trainings!$I:$I,"✓ Verified", Trainings!$B:$B,"&gt;="&amp;$B17, Trainings!$B:$B,"&lt;"&amp;$B17+1)</f>
        <v>0</v>
      </c>
      <c r="I17" s="41" t="n">
        <f aca="false">COUNTIFS(Sales!$C:$C,$C17, Sales!$B:$B,"&gt;="&amp;$B17, Sales!$B:$B,"&lt;"&amp;$B17+1)</f>
        <v>0</v>
      </c>
    </row>
    <row r="18" customFormat="false" ht="18" hidden="false" customHeight="true" outlineLevel="0" collapsed="false">
      <c r="B18" s="40" t="n">
        <v>46137</v>
      </c>
      <c r="C18" s="29" t="s">
        <v>15</v>
      </c>
      <c r="D18" s="41" t="n">
        <f aca="false">SUMIFS(Sales!$H:$H, Sales!$C:$C,$C18, Sales!$E:$E,"MEM",  Sales!$B:$B,"&gt;="&amp;$B18, Sales!$B:$B,"&lt;"&amp;$B18+1)</f>
        <v>0</v>
      </c>
      <c r="E18" s="41" t="n">
        <f aca="false">SUMIFS(Sales!$H:$H, Sales!$C:$C,$C18, Sales!$E:$E,"PT",   Sales!$B:$B,"&gt;="&amp;$B18, Sales!$B:$B,"&lt;"&amp;$B18+1)</f>
        <v>0</v>
      </c>
      <c r="F18" s="41" t="n">
        <f aca="false">SUMIFS(Sales!$H:$H, Sales!$C:$C,$C18, Sales!$E:$E,"Plan", Sales!$B:$B,"&gt;="&amp;$B18, Sales!$B:$B,"&lt;"&amp;$B18+1)</f>
        <v>0</v>
      </c>
      <c r="G18" s="42" t="n">
        <f aca="false">SUM(D18:F18)</f>
        <v>0</v>
      </c>
      <c r="H18" s="41" t="n">
        <f aca="false">COUNTIFS(Trainings!$C:$C,$C18, Trainings!$I:$I,"✓ Verified", Trainings!$B:$B,"&gt;="&amp;$B18, Trainings!$B:$B,"&lt;"&amp;$B18+1)</f>
        <v>0</v>
      </c>
      <c r="I18" s="41" t="n">
        <f aca="false">COUNTIFS(Sales!$C:$C,$C18, Sales!$B:$B,"&gt;="&amp;$B18, Sales!$B:$B,"&lt;"&amp;$B18+1)</f>
        <v>0</v>
      </c>
    </row>
    <row r="19" customFormat="false" ht="18" hidden="false" customHeight="true" outlineLevel="0" collapsed="false">
      <c r="B19" s="40" t="n">
        <v>46137</v>
      </c>
      <c r="C19" s="29" t="s">
        <v>16</v>
      </c>
      <c r="D19" s="41" t="n">
        <f aca="false">SUMIFS(Sales!$H:$H, Sales!$C:$C,$C19, Sales!$E:$E,"MEM",  Sales!$B:$B,"&gt;="&amp;$B19, Sales!$B:$B,"&lt;"&amp;$B19+1)</f>
        <v>0</v>
      </c>
      <c r="E19" s="41" t="n">
        <f aca="false">SUMIFS(Sales!$H:$H, Sales!$C:$C,$C19, Sales!$E:$E,"PT",   Sales!$B:$B,"&gt;="&amp;$B19, Sales!$B:$B,"&lt;"&amp;$B19+1)</f>
        <v>0</v>
      </c>
      <c r="F19" s="41" t="n">
        <f aca="false">SUMIFS(Sales!$H:$H, Sales!$C:$C,$C19, Sales!$E:$E,"Plan", Sales!$B:$B,"&gt;="&amp;$B19, Sales!$B:$B,"&lt;"&amp;$B19+1)</f>
        <v>0</v>
      </c>
      <c r="G19" s="42" t="n">
        <f aca="false">SUM(D19:F19)</f>
        <v>0</v>
      </c>
      <c r="H19" s="41" t="n">
        <f aca="false">COUNTIFS(Trainings!$C:$C,$C19, Trainings!$I:$I,"✓ Verified", Trainings!$B:$B,"&gt;="&amp;$B19, Trainings!$B:$B,"&lt;"&amp;$B19+1)</f>
        <v>0</v>
      </c>
      <c r="I19" s="41" t="n">
        <f aca="false">COUNTIFS(Sales!$C:$C,$C19, Sales!$B:$B,"&gt;="&amp;$B19, Sales!$B:$B,"&lt;"&amp;$B19+1)</f>
        <v>0</v>
      </c>
    </row>
    <row r="20" customFormat="false" ht="18" hidden="false" customHeight="true" outlineLevel="0" collapsed="false">
      <c r="B20" s="40" t="n">
        <v>46137</v>
      </c>
      <c r="C20" s="29" t="s">
        <v>17</v>
      </c>
      <c r="D20" s="41" t="n">
        <f aca="false">SUMIFS(Sales!$H:$H, Sales!$C:$C,$C20, Sales!$E:$E,"MEM",  Sales!$B:$B,"&gt;="&amp;$B20, Sales!$B:$B,"&lt;"&amp;$B20+1)</f>
        <v>0</v>
      </c>
      <c r="E20" s="41" t="n">
        <f aca="false">SUMIFS(Sales!$H:$H, Sales!$C:$C,$C20, Sales!$E:$E,"PT",   Sales!$B:$B,"&gt;="&amp;$B20, Sales!$B:$B,"&lt;"&amp;$B20+1)</f>
        <v>0</v>
      </c>
      <c r="F20" s="41" t="n">
        <f aca="false">SUMIFS(Sales!$H:$H, Sales!$C:$C,$C20, Sales!$E:$E,"Plan", Sales!$B:$B,"&gt;="&amp;$B20, Sales!$B:$B,"&lt;"&amp;$B20+1)</f>
        <v>0</v>
      </c>
      <c r="G20" s="42" t="n">
        <f aca="false">SUM(D20:F20)</f>
        <v>0</v>
      </c>
      <c r="H20" s="41" t="n">
        <f aca="false">COUNTIFS(Trainings!$C:$C,$C20, Trainings!$I:$I,"✓ Verified", Trainings!$B:$B,"&gt;="&amp;$B20, Trainings!$B:$B,"&lt;"&amp;$B20+1)</f>
        <v>0</v>
      </c>
      <c r="I20" s="41" t="n">
        <f aca="false">COUNTIFS(Sales!$C:$C,$C20, Sales!$B:$B,"&gt;="&amp;$B20, Sales!$B:$B,"&lt;"&amp;$B20+1)</f>
        <v>0</v>
      </c>
      <c r="K20" s="39" t="s">
        <v>7</v>
      </c>
      <c r="L20" s="39" t="s">
        <v>95</v>
      </c>
    </row>
    <row r="21" customFormat="false" ht="18" hidden="false" customHeight="true" outlineLevel="0" collapsed="false">
      <c r="B21" s="40" t="n">
        <v>46138</v>
      </c>
      <c r="C21" s="29" t="s">
        <v>15</v>
      </c>
      <c r="D21" s="41" t="n">
        <f aca="false">SUMIFS(Sales!$H:$H, Sales!$C:$C,$C21, Sales!$E:$E,"MEM",  Sales!$B:$B,"&gt;="&amp;$B21, Sales!$B:$B,"&lt;"&amp;$B21+1)</f>
        <v>0</v>
      </c>
      <c r="E21" s="41" t="n">
        <f aca="false">SUMIFS(Sales!$H:$H, Sales!$C:$C,$C21, Sales!$E:$E,"PT",   Sales!$B:$B,"&gt;="&amp;$B21, Sales!$B:$B,"&lt;"&amp;$B21+1)</f>
        <v>0</v>
      </c>
      <c r="F21" s="41" t="n">
        <f aca="false">SUMIFS(Sales!$H:$H, Sales!$C:$C,$C21, Sales!$E:$E,"Plan", Sales!$B:$B,"&gt;="&amp;$B21, Sales!$B:$B,"&lt;"&amp;$B21+1)</f>
        <v>0</v>
      </c>
      <c r="G21" s="42" t="n">
        <f aca="false">SUM(D21:F21)</f>
        <v>0</v>
      </c>
      <c r="H21" s="41" t="n">
        <f aca="false">COUNTIFS(Trainings!$C:$C,$C21, Trainings!$I:$I,"✓ Verified", Trainings!$B:$B,"&gt;="&amp;$B21, Trainings!$B:$B,"&lt;"&amp;$B21+1)</f>
        <v>0</v>
      </c>
      <c r="I21" s="41" t="n">
        <f aca="false">COUNTIFS(Sales!$C:$C,$C21, Sales!$B:$B,"&gt;="&amp;$B21, Sales!$B:$B,"&lt;"&amp;$B21+1)</f>
        <v>0</v>
      </c>
      <c r="K21" s="44" t="s">
        <v>15</v>
      </c>
      <c r="L21" s="34" t="n">
        <f aca="true">SUMIFS(Sales!$H:$H, Sales!$C:$C, K21, Sales!$E:$E,"&lt;&gt;Train", Sales!$B:$B,"&gt;="&amp;(TODAY()-13))</f>
        <v>20500</v>
      </c>
    </row>
    <row r="22" customFormat="false" ht="18" hidden="false" customHeight="true" outlineLevel="0" collapsed="false">
      <c r="B22" s="40" t="n">
        <v>46138</v>
      </c>
      <c r="C22" s="29" t="s">
        <v>16</v>
      </c>
      <c r="D22" s="41" t="n">
        <f aca="false">SUMIFS(Sales!$H:$H, Sales!$C:$C,$C22, Sales!$E:$E,"MEM",  Sales!$B:$B,"&gt;="&amp;$B22, Sales!$B:$B,"&lt;"&amp;$B22+1)</f>
        <v>0</v>
      </c>
      <c r="E22" s="41" t="n">
        <f aca="false">SUMIFS(Sales!$H:$H, Sales!$C:$C,$C22, Sales!$E:$E,"PT",   Sales!$B:$B,"&gt;="&amp;$B22, Sales!$B:$B,"&lt;"&amp;$B22+1)</f>
        <v>0</v>
      </c>
      <c r="F22" s="41" t="n">
        <f aca="false">SUMIFS(Sales!$H:$H, Sales!$C:$C,$C22, Sales!$E:$E,"Plan", Sales!$B:$B,"&gt;="&amp;$B22, Sales!$B:$B,"&lt;"&amp;$B22+1)</f>
        <v>0</v>
      </c>
      <c r="G22" s="42" t="n">
        <f aca="false">SUM(D22:F22)</f>
        <v>0</v>
      </c>
      <c r="H22" s="41" t="n">
        <f aca="false">COUNTIFS(Trainings!$C:$C,$C22, Trainings!$I:$I,"✓ Verified", Trainings!$B:$B,"&gt;="&amp;$B22, Trainings!$B:$B,"&lt;"&amp;$B22+1)</f>
        <v>0</v>
      </c>
      <c r="I22" s="41" t="n">
        <f aca="false">COUNTIFS(Sales!$C:$C,$C22, Sales!$B:$B,"&gt;="&amp;$B22, Sales!$B:$B,"&lt;"&amp;$B22+1)</f>
        <v>0</v>
      </c>
      <c r="K22" s="44" t="s">
        <v>16</v>
      </c>
      <c r="L22" s="34" t="n">
        <f aca="true">SUMIFS(Sales!$H:$H, Sales!$C:$C, K22, Sales!$E:$E,"&lt;&gt;Train", Sales!$B:$B,"&gt;="&amp;(TODAY()-13))</f>
        <v>0</v>
      </c>
    </row>
    <row r="23" customFormat="false" ht="18" hidden="false" customHeight="true" outlineLevel="0" collapsed="false">
      <c r="B23" s="40" t="n">
        <v>46138</v>
      </c>
      <c r="C23" s="29" t="s">
        <v>17</v>
      </c>
      <c r="D23" s="41" t="n">
        <f aca="false">SUMIFS(Sales!$H:$H, Sales!$C:$C,$C23, Sales!$E:$E,"MEM",  Sales!$B:$B,"&gt;="&amp;$B23, Sales!$B:$B,"&lt;"&amp;$B23+1)</f>
        <v>0</v>
      </c>
      <c r="E23" s="41" t="n">
        <f aca="false">SUMIFS(Sales!$H:$H, Sales!$C:$C,$C23, Sales!$E:$E,"PT",   Sales!$B:$B,"&gt;="&amp;$B23, Sales!$B:$B,"&lt;"&amp;$B23+1)</f>
        <v>0</v>
      </c>
      <c r="F23" s="41" t="n">
        <f aca="false">SUMIFS(Sales!$H:$H, Sales!$C:$C,$C23, Sales!$E:$E,"Plan", Sales!$B:$B,"&gt;="&amp;$B23, Sales!$B:$B,"&lt;"&amp;$B23+1)</f>
        <v>0</v>
      </c>
      <c r="G23" s="42" t="n">
        <f aca="false">SUM(D23:F23)</f>
        <v>0</v>
      </c>
      <c r="H23" s="41" t="n">
        <f aca="false">COUNTIFS(Trainings!$C:$C,$C23, Trainings!$I:$I,"✓ Verified", Trainings!$B:$B,"&gt;="&amp;$B23, Trainings!$B:$B,"&lt;"&amp;$B23+1)</f>
        <v>0</v>
      </c>
      <c r="I23" s="41" t="n">
        <f aca="false">COUNTIFS(Sales!$C:$C,$C23, Sales!$B:$B,"&gt;="&amp;$B23, Sales!$B:$B,"&lt;"&amp;$B23+1)</f>
        <v>0</v>
      </c>
      <c r="K23" s="44" t="s">
        <v>17</v>
      </c>
      <c r="L23" s="34" t="n">
        <f aca="true">SUMIFS(Sales!$H:$H, Sales!$C:$C, K23, Sales!$E:$E,"&lt;&gt;Train", Sales!$B:$B,"&gt;="&amp;(TODAY()-13))</f>
        <v>0</v>
      </c>
    </row>
    <row r="24" customFormat="false" ht="18" hidden="false" customHeight="true" outlineLevel="0" collapsed="false">
      <c r="B24" s="40" t="n">
        <v>46139</v>
      </c>
      <c r="C24" s="29" t="s">
        <v>15</v>
      </c>
      <c r="D24" s="41" t="n">
        <f aca="false">SUMIFS(Sales!$H:$H, Sales!$C:$C,$C24, Sales!$E:$E,"MEM",  Sales!$B:$B,"&gt;="&amp;$B24, Sales!$B:$B,"&lt;"&amp;$B24+1)</f>
        <v>0</v>
      </c>
      <c r="E24" s="41" t="n">
        <f aca="false">SUMIFS(Sales!$H:$H, Sales!$C:$C,$C24, Sales!$E:$E,"PT",   Sales!$B:$B,"&gt;="&amp;$B24, Sales!$B:$B,"&lt;"&amp;$B24+1)</f>
        <v>0</v>
      </c>
      <c r="F24" s="41" t="n">
        <f aca="false">SUMIFS(Sales!$H:$H, Sales!$C:$C,$C24, Sales!$E:$E,"Plan", Sales!$B:$B,"&gt;="&amp;$B24, Sales!$B:$B,"&lt;"&amp;$B24+1)</f>
        <v>0</v>
      </c>
      <c r="G24" s="42" t="n">
        <f aca="false">SUM(D24:F24)</f>
        <v>0</v>
      </c>
      <c r="H24" s="41" t="n">
        <f aca="false">COUNTIFS(Trainings!$C:$C,$C24, Trainings!$I:$I,"✓ Verified", Trainings!$B:$B,"&gt;="&amp;$B24, Trainings!$B:$B,"&lt;"&amp;$B24+1)</f>
        <v>0</v>
      </c>
      <c r="I24" s="41" t="n">
        <f aca="false">COUNTIFS(Sales!$C:$C,$C24, Sales!$B:$B,"&gt;="&amp;$B24, Sales!$B:$B,"&lt;"&amp;$B24+1)</f>
        <v>0</v>
      </c>
    </row>
    <row r="25" customFormat="false" ht="18" hidden="false" customHeight="true" outlineLevel="0" collapsed="false">
      <c r="B25" s="40" t="n">
        <v>46139</v>
      </c>
      <c r="C25" s="29" t="s">
        <v>16</v>
      </c>
      <c r="D25" s="41" t="n">
        <f aca="false">SUMIFS(Sales!$H:$H, Sales!$C:$C,$C25, Sales!$E:$E,"MEM",  Sales!$B:$B,"&gt;="&amp;$B25, Sales!$B:$B,"&lt;"&amp;$B25+1)</f>
        <v>0</v>
      </c>
      <c r="E25" s="41" t="n">
        <f aca="false">SUMIFS(Sales!$H:$H, Sales!$C:$C,$C25, Sales!$E:$E,"PT",   Sales!$B:$B,"&gt;="&amp;$B25, Sales!$B:$B,"&lt;"&amp;$B25+1)</f>
        <v>0</v>
      </c>
      <c r="F25" s="41" t="n">
        <f aca="false">SUMIFS(Sales!$H:$H, Sales!$C:$C,$C25, Sales!$E:$E,"Plan", Sales!$B:$B,"&gt;="&amp;$B25, Sales!$B:$B,"&lt;"&amp;$B25+1)</f>
        <v>0</v>
      </c>
      <c r="G25" s="42" t="n">
        <f aca="false">SUM(D25:F25)</f>
        <v>0</v>
      </c>
      <c r="H25" s="41" t="n">
        <f aca="false">COUNTIFS(Trainings!$C:$C,$C25, Trainings!$I:$I,"✓ Verified", Trainings!$B:$B,"&gt;="&amp;$B25, Trainings!$B:$B,"&lt;"&amp;$B25+1)</f>
        <v>0</v>
      </c>
      <c r="I25" s="41" t="n">
        <f aca="false">COUNTIFS(Sales!$C:$C,$C25, Sales!$B:$B,"&gt;="&amp;$B25, Sales!$B:$B,"&lt;"&amp;$B25+1)</f>
        <v>0</v>
      </c>
    </row>
    <row r="26" customFormat="false" ht="18" hidden="false" customHeight="true" outlineLevel="0" collapsed="false">
      <c r="B26" s="40" t="n">
        <v>46139</v>
      </c>
      <c r="C26" s="29" t="s">
        <v>17</v>
      </c>
      <c r="D26" s="41" t="n">
        <f aca="false">SUMIFS(Sales!$H:$H, Sales!$C:$C,$C26, Sales!$E:$E,"MEM",  Sales!$B:$B,"&gt;="&amp;$B26, Sales!$B:$B,"&lt;"&amp;$B26+1)</f>
        <v>0</v>
      </c>
      <c r="E26" s="41" t="n">
        <f aca="false">SUMIFS(Sales!$H:$H, Sales!$C:$C,$C26, Sales!$E:$E,"PT",   Sales!$B:$B,"&gt;="&amp;$B26, Sales!$B:$B,"&lt;"&amp;$B26+1)</f>
        <v>0</v>
      </c>
      <c r="F26" s="41" t="n">
        <f aca="false">SUMIFS(Sales!$H:$H, Sales!$C:$C,$C26, Sales!$E:$E,"Plan", Sales!$B:$B,"&gt;="&amp;$B26, Sales!$B:$B,"&lt;"&amp;$B26+1)</f>
        <v>0</v>
      </c>
      <c r="G26" s="42" t="n">
        <f aca="false">SUM(D26:F26)</f>
        <v>0</v>
      </c>
      <c r="H26" s="41" t="n">
        <f aca="false">COUNTIFS(Trainings!$C:$C,$C26, Trainings!$I:$I,"✓ Verified", Trainings!$B:$B,"&gt;="&amp;$B26, Trainings!$B:$B,"&lt;"&amp;$B26+1)</f>
        <v>0</v>
      </c>
      <c r="I26" s="41" t="n">
        <f aca="false">COUNTIFS(Sales!$C:$C,$C26, Sales!$B:$B,"&gt;="&amp;$B26, Sales!$B:$B,"&lt;"&amp;$B26+1)</f>
        <v>0</v>
      </c>
    </row>
    <row r="27" customFormat="false" ht="18" hidden="false" customHeight="true" outlineLevel="0" collapsed="false">
      <c r="B27" s="40" t="n">
        <v>46140</v>
      </c>
      <c r="C27" s="29" t="s">
        <v>15</v>
      </c>
      <c r="D27" s="41" t="n">
        <f aca="false">SUMIFS(Sales!$H:$H, Sales!$C:$C,$C27, Sales!$E:$E,"MEM",  Sales!$B:$B,"&gt;="&amp;$B27, Sales!$B:$B,"&lt;"&amp;$B27+1)</f>
        <v>0</v>
      </c>
      <c r="E27" s="41" t="n">
        <f aca="false">SUMIFS(Sales!$H:$H, Sales!$C:$C,$C27, Sales!$E:$E,"PT",   Sales!$B:$B,"&gt;="&amp;$B27, Sales!$B:$B,"&lt;"&amp;$B27+1)</f>
        <v>0</v>
      </c>
      <c r="F27" s="41" t="n">
        <f aca="false">SUMIFS(Sales!$H:$H, Sales!$C:$C,$C27, Sales!$E:$E,"Plan", Sales!$B:$B,"&gt;="&amp;$B27, Sales!$B:$B,"&lt;"&amp;$B27+1)</f>
        <v>0</v>
      </c>
      <c r="G27" s="42" t="n">
        <f aca="false">SUM(D27:F27)</f>
        <v>0</v>
      </c>
      <c r="H27" s="41" t="n">
        <f aca="false">COUNTIFS(Trainings!$C:$C,$C27, Trainings!$I:$I,"✓ Verified", Trainings!$B:$B,"&gt;="&amp;$B27, Trainings!$B:$B,"&lt;"&amp;$B27+1)</f>
        <v>0</v>
      </c>
      <c r="I27" s="41" t="n">
        <f aca="false">COUNTIFS(Sales!$C:$C,$C27, Sales!$B:$B,"&gt;="&amp;$B27, Sales!$B:$B,"&lt;"&amp;$B27+1)</f>
        <v>0</v>
      </c>
    </row>
    <row r="28" customFormat="false" ht="18" hidden="false" customHeight="true" outlineLevel="0" collapsed="false">
      <c r="B28" s="40" t="n">
        <v>46140</v>
      </c>
      <c r="C28" s="29" t="s">
        <v>16</v>
      </c>
      <c r="D28" s="41" t="n">
        <f aca="false">SUMIFS(Sales!$H:$H, Sales!$C:$C,$C28, Sales!$E:$E,"MEM",  Sales!$B:$B,"&gt;="&amp;$B28, Sales!$B:$B,"&lt;"&amp;$B28+1)</f>
        <v>0</v>
      </c>
      <c r="E28" s="41" t="n">
        <f aca="false">SUMIFS(Sales!$H:$H, Sales!$C:$C,$C28, Sales!$E:$E,"PT",   Sales!$B:$B,"&gt;="&amp;$B28, Sales!$B:$B,"&lt;"&amp;$B28+1)</f>
        <v>0</v>
      </c>
      <c r="F28" s="41" t="n">
        <f aca="false">SUMIFS(Sales!$H:$H, Sales!$C:$C,$C28, Sales!$E:$E,"Plan", Sales!$B:$B,"&gt;="&amp;$B28, Sales!$B:$B,"&lt;"&amp;$B28+1)</f>
        <v>0</v>
      </c>
      <c r="G28" s="42" t="n">
        <f aca="false">SUM(D28:F28)</f>
        <v>0</v>
      </c>
      <c r="H28" s="41" t="n">
        <f aca="false">COUNTIFS(Trainings!$C:$C,$C28, Trainings!$I:$I,"✓ Verified", Trainings!$B:$B,"&gt;="&amp;$B28, Trainings!$B:$B,"&lt;"&amp;$B28+1)</f>
        <v>0</v>
      </c>
      <c r="I28" s="41" t="n">
        <f aca="false">COUNTIFS(Sales!$C:$C,$C28, Sales!$B:$B,"&gt;="&amp;$B28, Sales!$B:$B,"&lt;"&amp;$B28+1)</f>
        <v>0</v>
      </c>
    </row>
    <row r="29" customFormat="false" ht="18" hidden="false" customHeight="true" outlineLevel="0" collapsed="false">
      <c r="B29" s="40" t="n">
        <v>46140</v>
      </c>
      <c r="C29" s="29" t="s">
        <v>17</v>
      </c>
      <c r="D29" s="41" t="n">
        <f aca="false">SUMIFS(Sales!$H:$H, Sales!$C:$C,$C29, Sales!$E:$E,"MEM",  Sales!$B:$B,"&gt;="&amp;$B29, Sales!$B:$B,"&lt;"&amp;$B29+1)</f>
        <v>0</v>
      </c>
      <c r="E29" s="41" t="n">
        <f aca="false">SUMIFS(Sales!$H:$H, Sales!$C:$C,$C29, Sales!$E:$E,"PT",   Sales!$B:$B,"&gt;="&amp;$B29, Sales!$B:$B,"&lt;"&amp;$B29+1)</f>
        <v>0</v>
      </c>
      <c r="F29" s="41" t="n">
        <f aca="false">SUMIFS(Sales!$H:$H, Sales!$C:$C,$C29, Sales!$E:$E,"Plan", Sales!$B:$B,"&gt;="&amp;$B29, Sales!$B:$B,"&lt;"&amp;$B29+1)</f>
        <v>0</v>
      </c>
      <c r="G29" s="42" t="n">
        <f aca="false">SUM(D29:F29)</f>
        <v>0</v>
      </c>
      <c r="H29" s="41" t="n">
        <f aca="false">COUNTIFS(Trainings!$C:$C,$C29, Trainings!$I:$I,"✓ Verified", Trainings!$B:$B,"&gt;="&amp;$B29, Trainings!$B:$B,"&lt;"&amp;$B29+1)</f>
        <v>0</v>
      </c>
      <c r="I29" s="41" t="n">
        <f aca="false">COUNTIFS(Sales!$C:$C,$C29, Sales!$B:$B,"&gt;="&amp;$B29, Sales!$B:$B,"&lt;"&amp;$B29+1)</f>
        <v>0</v>
      </c>
    </row>
    <row r="30" customFormat="false" ht="18" hidden="false" customHeight="true" outlineLevel="0" collapsed="false">
      <c r="B30" s="40" t="n">
        <v>46141</v>
      </c>
      <c r="C30" s="29" t="s">
        <v>15</v>
      </c>
      <c r="D30" s="41" t="n">
        <f aca="false">SUMIFS(Sales!$H:$H, Sales!$C:$C,$C30, Sales!$E:$E,"MEM",  Sales!$B:$B,"&gt;="&amp;$B30, Sales!$B:$B,"&lt;"&amp;$B30+1)</f>
        <v>0</v>
      </c>
      <c r="E30" s="41" t="n">
        <f aca="false">SUMIFS(Sales!$H:$H, Sales!$C:$C,$C30, Sales!$E:$E,"PT",   Sales!$B:$B,"&gt;="&amp;$B30, Sales!$B:$B,"&lt;"&amp;$B30+1)</f>
        <v>0</v>
      </c>
      <c r="F30" s="41" t="n">
        <f aca="false">SUMIFS(Sales!$H:$H, Sales!$C:$C,$C30, Sales!$E:$E,"Plan", Sales!$B:$B,"&gt;="&amp;$B30, Sales!$B:$B,"&lt;"&amp;$B30+1)</f>
        <v>0</v>
      </c>
      <c r="G30" s="42" t="n">
        <f aca="false">SUM(D30:F30)</f>
        <v>0</v>
      </c>
      <c r="H30" s="41" t="n">
        <f aca="false">COUNTIFS(Trainings!$C:$C,$C30, Trainings!$I:$I,"✓ Verified", Trainings!$B:$B,"&gt;="&amp;$B30, Trainings!$B:$B,"&lt;"&amp;$B30+1)</f>
        <v>0</v>
      </c>
      <c r="I30" s="41" t="n">
        <f aca="false">COUNTIFS(Sales!$C:$C,$C30, Sales!$B:$B,"&gt;="&amp;$B30, Sales!$B:$B,"&lt;"&amp;$B30+1)</f>
        <v>0</v>
      </c>
    </row>
    <row r="31" customFormat="false" ht="18" hidden="false" customHeight="true" outlineLevel="0" collapsed="false">
      <c r="B31" s="40" t="n">
        <v>46141</v>
      </c>
      <c r="C31" s="29" t="s">
        <v>16</v>
      </c>
      <c r="D31" s="41" t="n">
        <f aca="false">SUMIFS(Sales!$H:$H, Sales!$C:$C,$C31, Sales!$E:$E,"MEM",  Sales!$B:$B,"&gt;="&amp;$B31, Sales!$B:$B,"&lt;"&amp;$B31+1)</f>
        <v>0</v>
      </c>
      <c r="E31" s="41" t="n">
        <f aca="false">SUMIFS(Sales!$H:$H, Sales!$C:$C,$C31, Sales!$E:$E,"PT",   Sales!$B:$B,"&gt;="&amp;$B31, Sales!$B:$B,"&lt;"&amp;$B31+1)</f>
        <v>0</v>
      </c>
      <c r="F31" s="41" t="n">
        <f aca="false">SUMIFS(Sales!$H:$H, Sales!$C:$C,$C31, Sales!$E:$E,"Plan", Sales!$B:$B,"&gt;="&amp;$B31, Sales!$B:$B,"&lt;"&amp;$B31+1)</f>
        <v>0</v>
      </c>
      <c r="G31" s="42" t="n">
        <f aca="false">SUM(D31:F31)</f>
        <v>0</v>
      </c>
      <c r="H31" s="41" t="n">
        <f aca="false">COUNTIFS(Trainings!$C:$C,$C31, Trainings!$I:$I,"✓ Verified", Trainings!$B:$B,"&gt;="&amp;$B31, Trainings!$B:$B,"&lt;"&amp;$B31+1)</f>
        <v>0</v>
      </c>
      <c r="I31" s="41" t="n">
        <f aca="false">COUNTIFS(Sales!$C:$C,$C31, Sales!$B:$B,"&gt;="&amp;$B31, Sales!$B:$B,"&lt;"&amp;$B31+1)</f>
        <v>0</v>
      </c>
    </row>
    <row r="32" customFormat="false" ht="18" hidden="false" customHeight="true" outlineLevel="0" collapsed="false">
      <c r="B32" s="40" t="n">
        <v>46141</v>
      </c>
      <c r="C32" s="29" t="s">
        <v>17</v>
      </c>
      <c r="D32" s="41" t="n">
        <f aca="false">SUMIFS(Sales!$H:$H, Sales!$C:$C,$C32, Sales!$E:$E,"MEM",  Sales!$B:$B,"&gt;="&amp;$B32, Sales!$B:$B,"&lt;"&amp;$B32+1)</f>
        <v>0</v>
      </c>
      <c r="E32" s="41" t="n">
        <f aca="false">SUMIFS(Sales!$H:$H, Sales!$C:$C,$C32, Sales!$E:$E,"PT",   Sales!$B:$B,"&gt;="&amp;$B32, Sales!$B:$B,"&lt;"&amp;$B32+1)</f>
        <v>0</v>
      </c>
      <c r="F32" s="41" t="n">
        <f aca="false">SUMIFS(Sales!$H:$H, Sales!$C:$C,$C32, Sales!$E:$E,"Plan", Sales!$B:$B,"&gt;="&amp;$B32, Sales!$B:$B,"&lt;"&amp;$B32+1)</f>
        <v>0</v>
      </c>
      <c r="G32" s="42" t="n">
        <f aca="false">SUM(D32:F32)</f>
        <v>0</v>
      </c>
      <c r="H32" s="41" t="n">
        <f aca="false">COUNTIFS(Trainings!$C:$C,$C32, Trainings!$I:$I,"✓ Verified", Trainings!$B:$B,"&gt;="&amp;$B32, Trainings!$B:$B,"&lt;"&amp;$B32+1)</f>
        <v>0</v>
      </c>
      <c r="I32" s="41" t="n">
        <f aca="false">COUNTIFS(Sales!$C:$C,$C32, Sales!$B:$B,"&gt;="&amp;$B32, Sales!$B:$B,"&lt;"&amp;$B32+1)</f>
        <v>0</v>
      </c>
    </row>
    <row r="33" customFormat="false" ht="18" hidden="false" customHeight="true" outlineLevel="0" collapsed="false">
      <c r="B33" s="40" t="n">
        <v>46142</v>
      </c>
      <c r="C33" s="29" t="s">
        <v>15</v>
      </c>
      <c r="D33" s="41" t="n">
        <f aca="false">SUMIFS(Sales!$H:$H, Sales!$C:$C,$C33, Sales!$E:$E,"MEM",  Sales!$B:$B,"&gt;="&amp;$B33, Sales!$B:$B,"&lt;"&amp;$B33+1)</f>
        <v>0</v>
      </c>
      <c r="E33" s="41" t="n">
        <f aca="false">SUMIFS(Sales!$H:$H, Sales!$C:$C,$C33, Sales!$E:$E,"PT",   Sales!$B:$B,"&gt;="&amp;$B33, Sales!$B:$B,"&lt;"&amp;$B33+1)</f>
        <v>0</v>
      </c>
      <c r="F33" s="41" t="n">
        <f aca="false">SUMIFS(Sales!$H:$H, Sales!$C:$C,$C33, Sales!$E:$E,"Plan", Sales!$B:$B,"&gt;="&amp;$B33, Sales!$B:$B,"&lt;"&amp;$B33+1)</f>
        <v>0</v>
      </c>
      <c r="G33" s="42" t="n">
        <f aca="false">SUM(D33:F33)</f>
        <v>0</v>
      </c>
      <c r="H33" s="41" t="n">
        <f aca="false">COUNTIFS(Trainings!$C:$C,$C33, Trainings!$I:$I,"✓ Verified", Trainings!$B:$B,"&gt;="&amp;$B33, Trainings!$B:$B,"&lt;"&amp;$B33+1)</f>
        <v>0</v>
      </c>
      <c r="I33" s="41" t="n">
        <f aca="false">COUNTIFS(Sales!$C:$C,$C33, Sales!$B:$B,"&gt;="&amp;$B33, Sales!$B:$B,"&lt;"&amp;$B33+1)</f>
        <v>0</v>
      </c>
    </row>
    <row r="34" customFormat="false" ht="18" hidden="false" customHeight="true" outlineLevel="0" collapsed="false">
      <c r="B34" s="40" t="n">
        <v>46142</v>
      </c>
      <c r="C34" s="29" t="s">
        <v>16</v>
      </c>
      <c r="D34" s="41" t="n">
        <f aca="false">SUMIFS(Sales!$H:$H, Sales!$C:$C,$C34, Sales!$E:$E,"MEM",  Sales!$B:$B,"&gt;="&amp;$B34, Sales!$B:$B,"&lt;"&amp;$B34+1)</f>
        <v>0</v>
      </c>
      <c r="E34" s="41" t="n">
        <f aca="false">SUMIFS(Sales!$H:$H, Sales!$C:$C,$C34, Sales!$E:$E,"PT",   Sales!$B:$B,"&gt;="&amp;$B34, Sales!$B:$B,"&lt;"&amp;$B34+1)</f>
        <v>0</v>
      </c>
      <c r="F34" s="41" t="n">
        <f aca="false">SUMIFS(Sales!$H:$H, Sales!$C:$C,$C34, Sales!$E:$E,"Plan", Sales!$B:$B,"&gt;="&amp;$B34, Sales!$B:$B,"&lt;"&amp;$B34+1)</f>
        <v>0</v>
      </c>
      <c r="G34" s="42" t="n">
        <f aca="false">SUM(D34:F34)</f>
        <v>0</v>
      </c>
      <c r="H34" s="41" t="n">
        <f aca="false">COUNTIFS(Trainings!$C:$C,$C34, Trainings!$I:$I,"✓ Verified", Trainings!$B:$B,"&gt;="&amp;$B34, Trainings!$B:$B,"&lt;"&amp;$B34+1)</f>
        <v>0</v>
      </c>
      <c r="I34" s="41" t="n">
        <f aca="false">COUNTIFS(Sales!$C:$C,$C34, Sales!$B:$B,"&gt;="&amp;$B34, Sales!$B:$B,"&lt;"&amp;$B34+1)</f>
        <v>0</v>
      </c>
    </row>
    <row r="35" customFormat="false" ht="18" hidden="false" customHeight="true" outlineLevel="0" collapsed="false">
      <c r="B35" s="40" t="n">
        <v>46142</v>
      </c>
      <c r="C35" s="29" t="s">
        <v>17</v>
      </c>
      <c r="D35" s="41" t="n">
        <f aca="false">SUMIFS(Sales!$H:$H, Sales!$C:$C,$C35, Sales!$E:$E,"MEM",  Sales!$B:$B,"&gt;="&amp;$B35, Sales!$B:$B,"&lt;"&amp;$B35+1)</f>
        <v>0</v>
      </c>
      <c r="E35" s="41" t="n">
        <f aca="false">SUMIFS(Sales!$H:$H, Sales!$C:$C,$C35, Sales!$E:$E,"PT",   Sales!$B:$B,"&gt;="&amp;$B35, Sales!$B:$B,"&lt;"&amp;$B35+1)</f>
        <v>0</v>
      </c>
      <c r="F35" s="41" t="n">
        <f aca="false">SUMIFS(Sales!$H:$H, Sales!$C:$C,$C35, Sales!$E:$E,"Plan", Sales!$B:$B,"&gt;="&amp;$B35, Sales!$B:$B,"&lt;"&amp;$B35+1)</f>
        <v>0</v>
      </c>
      <c r="G35" s="42" t="n">
        <f aca="false">SUM(D35:F35)</f>
        <v>0</v>
      </c>
      <c r="H35" s="41" t="n">
        <f aca="false">COUNTIFS(Trainings!$C:$C,$C35, Trainings!$I:$I,"✓ Verified", Trainings!$B:$B,"&gt;="&amp;$B35, Trainings!$B:$B,"&lt;"&amp;$B35+1)</f>
        <v>0</v>
      </c>
      <c r="I35" s="41" t="n">
        <f aca="false">COUNTIFS(Sales!$C:$C,$C35, Sales!$B:$B,"&gt;="&amp;$B35, Sales!$B:$B,"&lt;"&amp;$B35+1)</f>
        <v>0</v>
      </c>
    </row>
    <row r="36" customFormat="false" ht="18" hidden="false" customHeight="true" outlineLevel="0" collapsed="false">
      <c r="B36" s="40" t="n">
        <v>46143</v>
      </c>
      <c r="C36" s="29" t="s">
        <v>15</v>
      </c>
      <c r="D36" s="41" t="n">
        <f aca="false">SUMIFS(Sales!$H:$H, Sales!$C:$C,$C36, Sales!$E:$E,"MEM",  Sales!$B:$B,"&gt;="&amp;$B36, Sales!$B:$B,"&lt;"&amp;$B36+1)</f>
        <v>0</v>
      </c>
      <c r="E36" s="41" t="n">
        <f aca="false">SUMIFS(Sales!$H:$H, Sales!$C:$C,$C36, Sales!$E:$E,"PT",   Sales!$B:$B,"&gt;="&amp;$B36, Sales!$B:$B,"&lt;"&amp;$B36+1)</f>
        <v>0</v>
      </c>
      <c r="F36" s="41" t="n">
        <f aca="false">SUMIFS(Sales!$H:$H, Sales!$C:$C,$C36, Sales!$E:$E,"Plan", Sales!$B:$B,"&gt;="&amp;$B36, Sales!$B:$B,"&lt;"&amp;$B36+1)</f>
        <v>0</v>
      </c>
      <c r="G36" s="42" t="n">
        <f aca="false">SUM(D36:F36)</f>
        <v>0</v>
      </c>
      <c r="H36" s="41" t="n">
        <f aca="false">COUNTIFS(Trainings!$C:$C,$C36, Trainings!$I:$I,"✓ Verified", Trainings!$B:$B,"&gt;="&amp;$B36, Trainings!$B:$B,"&lt;"&amp;$B36+1)</f>
        <v>0</v>
      </c>
      <c r="I36" s="41" t="n">
        <f aca="false">COUNTIFS(Sales!$C:$C,$C36, Sales!$B:$B,"&gt;="&amp;$B36, Sales!$B:$B,"&lt;"&amp;$B36+1)</f>
        <v>0</v>
      </c>
    </row>
    <row r="37" customFormat="false" ht="18" hidden="false" customHeight="true" outlineLevel="0" collapsed="false">
      <c r="B37" s="40" t="n">
        <v>46143</v>
      </c>
      <c r="C37" s="29" t="s">
        <v>16</v>
      </c>
      <c r="D37" s="41" t="n">
        <f aca="false">SUMIFS(Sales!$H:$H, Sales!$C:$C,$C37, Sales!$E:$E,"MEM",  Sales!$B:$B,"&gt;="&amp;$B37, Sales!$B:$B,"&lt;"&amp;$B37+1)</f>
        <v>0</v>
      </c>
      <c r="E37" s="41" t="n">
        <f aca="false">SUMIFS(Sales!$H:$H, Sales!$C:$C,$C37, Sales!$E:$E,"PT",   Sales!$B:$B,"&gt;="&amp;$B37, Sales!$B:$B,"&lt;"&amp;$B37+1)</f>
        <v>0</v>
      </c>
      <c r="F37" s="41" t="n">
        <f aca="false">SUMIFS(Sales!$H:$H, Sales!$C:$C,$C37, Sales!$E:$E,"Plan", Sales!$B:$B,"&gt;="&amp;$B37, Sales!$B:$B,"&lt;"&amp;$B37+1)</f>
        <v>0</v>
      </c>
      <c r="G37" s="42" t="n">
        <f aca="false">SUM(D37:F37)</f>
        <v>0</v>
      </c>
      <c r="H37" s="41" t="n">
        <f aca="false">COUNTIFS(Trainings!$C:$C,$C37, Trainings!$I:$I,"✓ Verified", Trainings!$B:$B,"&gt;="&amp;$B37, Trainings!$B:$B,"&lt;"&amp;$B37+1)</f>
        <v>0</v>
      </c>
      <c r="I37" s="41" t="n">
        <f aca="false">COUNTIFS(Sales!$C:$C,$C37, Sales!$B:$B,"&gt;="&amp;$B37, Sales!$B:$B,"&lt;"&amp;$B37+1)</f>
        <v>0</v>
      </c>
    </row>
    <row r="38" customFormat="false" ht="18" hidden="false" customHeight="true" outlineLevel="0" collapsed="false">
      <c r="B38" s="40" t="n">
        <v>46143</v>
      </c>
      <c r="C38" s="29" t="s">
        <v>17</v>
      </c>
      <c r="D38" s="41" t="n">
        <f aca="false">SUMIFS(Sales!$H:$H, Sales!$C:$C,$C38, Sales!$E:$E,"MEM",  Sales!$B:$B,"&gt;="&amp;$B38, Sales!$B:$B,"&lt;"&amp;$B38+1)</f>
        <v>0</v>
      </c>
      <c r="E38" s="41" t="n">
        <f aca="false">SUMIFS(Sales!$H:$H, Sales!$C:$C,$C38, Sales!$E:$E,"PT",   Sales!$B:$B,"&gt;="&amp;$B38, Sales!$B:$B,"&lt;"&amp;$B38+1)</f>
        <v>0</v>
      </c>
      <c r="F38" s="41" t="n">
        <f aca="false">SUMIFS(Sales!$H:$H, Sales!$C:$C,$C38, Sales!$E:$E,"Plan", Sales!$B:$B,"&gt;="&amp;$B38, Sales!$B:$B,"&lt;"&amp;$B38+1)</f>
        <v>0</v>
      </c>
      <c r="G38" s="42" t="n">
        <f aca="false">SUM(D38:F38)</f>
        <v>0</v>
      </c>
      <c r="H38" s="41" t="n">
        <f aca="false">COUNTIFS(Trainings!$C:$C,$C38, Trainings!$I:$I,"✓ Verified", Trainings!$B:$B,"&gt;="&amp;$B38, Trainings!$B:$B,"&lt;"&amp;$B38+1)</f>
        <v>0</v>
      </c>
      <c r="I38" s="41" t="n">
        <f aca="false">COUNTIFS(Sales!$C:$C,$C38, Sales!$B:$B,"&gt;="&amp;$B38, Sales!$B:$B,"&lt;"&amp;$B38+1)</f>
        <v>0</v>
      </c>
    </row>
    <row r="39" customFormat="false" ht="18" hidden="false" customHeight="true" outlineLevel="0" collapsed="false">
      <c r="B39" s="40" t="n">
        <v>46144</v>
      </c>
      <c r="C39" s="29" t="s">
        <v>15</v>
      </c>
      <c r="D39" s="41" t="n">
        <f aca="false">SUMIFS(Sales!$H:$H, Sales!$C:$C,$C39, Sales!$E:$E,"MEM",  Sales!$B:$B,"&gt;="&amp;$B39, Sales!$B:$B,"&lt;"&amp;$B39+1)</f>
        <v>0</v>
      </c>
      <c r="E39" s="41" t="n">
        <f aca="false">SUMIFS(Sales!$H:$H, Sales!$C:$C,$C39, Sales!$E:$E,"PT",   Sales!$B:$B,"&gt;="&amp;$B39, Sales!$B:$B,"&lt;"&amp;$B39+1)</f>
        <v>0</v>
      </c>
      <c r="F39" s="41" t="n">
        <f aca="false">SUMIFS(Sales!$H:$H, Sales!$C:$C,$C39, Sales!$E:$E,"Plan", Sales!$B:$B,"&gt;="&amp;$B39, Sales!$B:$B,"&lt;"&amp;$B39+1)</f>
        <v>0</v>
      </c>
      <c r="G39" s="42" t="n">
        <f aca="false">SUM(D39:F39)</f>
        <v>0</v>
      </c>
      <c r="H39" s="41" t="n">
        <f aca="false">COUNTIFS(Trainings!$C:$C,$C39, Trainings!$I:$I,"✓ Verified", Trainings!$B:$B,"&gt;="&amp;$B39, Trainings!$B:$B,"&lt;"&amp;$B39+1)</f>
        <v>0</v>
      </c>
      <c r="I39" s="41" t="n">
        <f aca="false">COUNTIFS(Sales!$C:$C,$C39, Sales!$B:$B,"&gt;="&amp;$B39, Sales!$B:$B,"&lt;"&amp;$B39+1)</f>
        <v>0</v>
      </c>
    </row>
    <row r="40" customFormat="false" ht="18" hidden="false" customHeight="true" outlineLevel="0" collapsed="false">
      <c r="B40" s="40" t="n">
        <v>46144</v>
      </c>
      <c r="C40" s="29" t="s">
        <v>16</v>
      </c>
      <c r="D40" s="41" t="n">
        <f aca="false">SUMIFS(Sales!$H:$H, Sales!$C:$C,$C40, Sales!$E:$E,"MEM",  Sales!$B:$B,"&gt;="&amp;$B40, Sales!$B:$B,"&lt;"&amp;$B40+1)</f>
        <v>0</v>
      </c>
      <c r="E40" s="41" t="n">
        <f aca="false">SUMIFS(Sales!$H:$H, Sales!$C:$C,$C40, Sales!$E:$E,"PT",   Sales!$B:$B,"&gt;="&amp;$B40, Sales!$B:$B,"&lt;"&amp;$B40+1)</f>
        <v>0</v>
      </c>
      <c r="F40" s="41" t="n">
        <f aca="false">SUMIFS(Sales!$H:$H, Sales!$C:$C,$C40, Sales!$E:$E,"Plan", Sales!$B:$B,"&gt;="&amp;$B40, Sales!$B:$B,"&lt;"&amp;$B40+1)</f>
        <v>0</v>
      </c>
      <c r="G40" s="42" t="n">
        <f aca="false">SUM(D40:F40)</f>
        <v>0</v>
      </c>
      <c r="H40" s="41" t="n">
        <f aca="false">COUNTIFS(Trainings!$C:$C,$C40, Trainings!$I:$I,"✓ Verified", Trainings!$B:$B,"&gt;="&amp;$B40, Trainings!$B:$B,"&lt;"&amp;$B40+1)</f>
        <v>0</v>
      </c>
      <c r="I40" s="41" t="n">
        <f aca="false">COUNTIFS(Sales!$C:$C,$C40, Sales!$B:$B,"&gt;="&amp;$B40, Sales!$B:$B,"&lt;"&amp;$B40+1)</f>
        <v>0</v>
      </c>
    </row>
    <row r="41" customFormat="false" ht="18" hidden="false" customHeight="true" outlineLevel="0" collapsed="false">
      <c r="B41" s="40" t="n">
        <v>46144</v>
      </c>
      <c r="C41" s="29" t="s">
        <v>17</v>
      </c>
      <c r="D41" s="41" t="n">
        <f aca="false">SUMIFS(Sales!$H:$H, Sales!$C:$C,$C41, Sales!$E:$E,"MEM",  Sales!$B:$B,"&gt;="&amp;$B41, Sales!$B:$B,"&lt;"&amp;$B41+1)</f>
        <v>0</v>
      </c>
      <c r="E41" s="41" t="n">
        <f aca="false">SUMIFS(Sales!$H:$H, Sales!$C:$C,$C41, Sales!$E:$E,"PT",   Sales!$B:$B,"&gt;="&amp;$B41, Sales!$B:$B,"&lt;"&amp;$B41+1)</f>
        <v>0</v>
      </c>
      <c r="F41" s="41" t="n">
        <f aca="false">SUMIFS(Sales!$H:$H, Sales!$C:$C,$C41, Sales!$E:$E,"Plan", Sales!$B:$B,"&gt;="&amp;$B41, Sales!$B:$B,"&lt;"&amp;$B41+1)</f>
        <v>0</v>
      </c>
      <c r="G41" s="42" t="n">
        <f aca="false">SUM(D41:F41)</f>
        <v>0</v>
      </c>
      <c r="H41" s="41" t="n">
        <f aca="false">COUNTIFS(Trainings!$C:$C,$C41, Trainings!$I:$I,"✓ Verified", Trainings!$B:$B,"&gt;="&amp;$B41, Trainings!$B:$B,"&lt;"&amp;$B41+1)</f>
        <v>0</v>
      </c>
      <c r="I41" s="41" t="n">
        <f aca="false">COUNTIFS(Sales!$C:$C,$C41, Sales!$B:$B,"&gt;="&amp;$B41, Sales!$B:$B,"&lt;"&amp;$B41+1)</f>
        <v>0</v>
      </c>
    </row>
    <row r="42" customFormat="false" ht="18" hidden="false" customHeight="true" outlineLevel="0" collapsed="false">
      <c r="B42" s="40" t="n">
        <v>46145</v>
      </c>
      <c r="C42" s="29" t="s">
        <v>15</v>
      </c>
      <c r="D42" s="41" t="n">
        <f aca="false">SUMIFS(Sales!$H:$H, Sales!$C:$C,$C42, Sales!$E:$E,"MEM",  Sales!$B:$B,"&gt;="&amp;$B42, Sales!$B:$B,"&lt;"&amp;$B42+1)</f>
        <v>12000</v>
      </c>
      <c r="E42" s="41" t="n">
        <f aca="false">SUMIFS(Sales!$H:$H, Sales!$C:$C,$C42, Sales!$E:$E,"PT",   Sales!$B:$B,"&gt;="&amp;$B42, Sales!$B:$B,"&lt;"&amp;$B42+1)</f>
        <v>8000</v>
      </c>
      <c r="F42" s="41" t="n">
        <f aca="false">SUMIFS(Sales!$H:$H, Sales!$C:$C,$C42, Sales!$E:$E,"Plan", Sales!$B:$B,"&gt;="&amp;$B42, Sales!$B:$B,"&lt;"&amp;$B42+1)</f>
        <v>500</v>
      </c>
      <c r="G42" s="42" t="n">
        <f aca="false">SUM(D42:F42)</f>
        <v>20500</v>
      </c>
      <c r="H42" s="41" t="n">
        <f aca="false">COUNTIFS(Trainings!$C:$C,$C42, Trainings!$I:$I,"✓ Verified", Trainings!$B:$B,"&gt;="&amp;$B42, Trainings!$B:$B,"&lt;"&amp;$B42+1)</f>
        <v>0</v>
      </c>
      <c r="I42" s="41" t="n">
        <f aca="false">COUNTIFS(Sales!$C:$C,$C42, Sales!$B:$B,"&gt;="&amp;$B42, Sales!$B:$B,"&lt;"&amp;$B42+1)</f>
        <v>3</v>
      </c>
    </row>
    <row r="43" customFormat="false" ht="18" hidden="false" customHeight="true" outlineLevel="0" collapsed="false">
      <c r="B43" s="40" t="n">
        <v>46145</v>
      </c>
      <c r="C43" s="29" t="s">
        <v>16</v>
      </c>
      <c r="D43" s="41" t="n">
        <f aca="false">SUMIFS(Sales!$H:$H, Sales!$C:$C,$C43, Sales!$E:$E,"MEM",  Sales!$B:$B,"&gt;="&amp;$B43, Sales!$B:$B,"&lt;"&amp;$B43+1)</f>
        <v>0</v>
      </c>
      <c r="E43" s="41" t="n">
        <f aca="false">SUMIFS(Sales!$H:$H, Sales!$C:$C,$C43, Sales!$E:$E,"PT",   Sales!$B:$B,"&gt;="&amp;$B43, Sales!$B:$B,"&lt;"&amp;$B43+1)</f>
        <v>0</v>
      </c>
      <c r="F43" s="41" t="n">
        <f aca="false">SUMIFS(Sales!$H:$H, Sales!$C:$C,$C43, Sales!$E:$E,"Plan", Sales!$B:$B,"&gt;="&amp;$B43, Sales!$B:$B,"&lt;"&amp;$B43+1)</f>
        <v>0</v>
      </c>
      <c r="G43" s="42" t="n">
        <f aca="false">SUM(D43:F43)</f>
        <v>0</v>
      </c>
      <c r="H43" s="41" t="n">
        <f aca="false">COUNTIFS(Trainings!$C:$C,$C43, Trainings!$I:$I,"✓ Verified", Trainings!$B:$B,"&gt;="&amp;$B43, Trainings!$B:$B,"&lt;"&amp;$B43+1)</f>
        <v>0</v>
      </c>
      <c r="I43" s="41" t="n">
        <f aca="false">COUNTIFS(Sales!$C:$C,$C43, Sales!$B:$B,"&gt;="&amp;$B43, Sales!$B:$B,"&lt;"&amp;$B43+1)</f>
        <v>1</v>
      </c>
    </row>
    <row r="44" customFormat="false" ht="18" hidden="false" customHeight="true" outlineLevel="0" collapsed="false">
      <c r="B44" s="40" t="n">
        <v>46145</v>
      </c>
      <c r="C44" s="29" t="s">
        <v>17</v>
      </c>
      <c r="D44" s="41" t="n">
        <f aca="false">SUMIFS(Sales!$H:$H, Sales!$C:$C,$C44, Sales!$E:$E,"MEM",  Sales!$B:$B,"&gt;="&amp;$B44, Sales!$B:$B,"&lt;"&amp;$B44+1)</f>
        <v>0</v>
      </c>
      <c r="E44" s="41" t="n">
        <f aca="false">SUMIFS(Sales!$H:$H, Sales!$C:$C,$C44, Sales!$E:$E,"PT",   Sales!$B:$B,"&gt;="&amp;$B44, Sales!$B:$B,"&lt;"&amp;$B44+1)</f>
        <v>0</v>
      </c>
      <c r="F44" s="41" t="n">
        <f aca="false">SUMIFS(Sales!$H:$H, Sales!$C:$C,$C44, Sales!$E:$E,"Plan", Sales!$B:$B,"&gt;="&amp;$B44, Sales!$B:$B,"&lt;"&amp;$B44+1)</f>
        <v>0</v>
      </c>
      <c r="G44" s="42" t="n">
        <f aca="false">SUM(D44:F44)</f>
        <v>0</v>
      </c>
      <c r="H44" s="41" t="n">
        <f aca="false">COUNTIFS(Trainings!$C:$C,$C44, Trainings!$I:$I,"✓ Verified", Trainings!$B:$B,"&gt;="&amp;$B44, Trainings!$B:$B,"&lt;"&amp;$B44+1)</f>
        <v>0</v>
      </c>
      <c r="I44" s="41" t="n">
        <f aca="false">COUNTIFS(Sales!$C:$C,$C44, Sales!$B:$B,"&gt;="&amp;$B44, Sales!$B:$B,"&lt;"&amp;$B44+1)</f>
        <v>0</v>
      </c>
    </row>
  </sheetData>
  <mergeCells count="1">
    <mergeCell ref="B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2"/>
  </cols>
  <sheetData>
    <row r="1" customFormat="false" ht="30" hidden="false" customHeight="true" outlineLevel="0" collapsed="false">
      <c r="B1" s="27" t="s">
        <v>96</v>
      </c>
      <c r="C1" s="27"/>
      <c r="D1" s="27"/>
      <c r="E1" s="27"/>
      <c r="F1" s="27"/>
      <c r="G1" s="27"/>
      <c r="H1" s="27"/>
    </row>
    <row r="2" customFormat="false" ht="27.75" hidden="false" customHeight="true" outlineLevel="0" collapsed="false">
      <c r="B2" s="19" t="s">
        <v>62</v>
      </c>
      <c r="C2" s="19" t="s">
        <v>21</v>
      </c>
      <c r="D2" s="19" t="s">
        <v>7</v>
      </c>
      <c r="E2" s="19" t="s">
        <v>29</v>
      </c>
      <c r="F2" s="19" t="s">
        <v>64</v>
      </c>
      <c r="G2" s="19" t="s">
        <v>97</v>
      </c>
      <c r="H2" s="19" t="s">
        <v>98</v>
      </c>
      <c r="I2" s="19" t="s">
        <v>39</v>
      </c>
    </row>
    <row r="3" customFormat="false" ht="15" hidden="false" customHeight="false" outlineLevel="0" collapsed="false">
      <c r="B3" s="36"/>
      <c r="C3" s="37"/>
      <c r="D3" s="37"/>
      <c r="E3" s="37"/>
      <c r="F3" s="30"/>
      <c r="G3" s="37"/>
      <c r="H3" s="30"/>
      <c r="I3" s="37"/>
    </row>
    <row r="4" customFormat="false" ht="15" hidden="false" customHeight="false" outlineLevel="0" collapsed="false">
      <c r="B4" s="36"/>
      <c r="C4" s="37"/>
      <c r="D4" s="37"/>
      <c r="E4" s="37"/>
      <c r="F4" s="30"/>
      <c r="G4" s="37"/>
      <c r="H4" s="30"/>
      <c r="I4" s="37"/>
    </row>
    <row r="5" customFormat="false" ht="15" hidden="false" customHeight="false" outlineLevel="0" collapsed="false">
      <c r="B5" s="36"/>
      <c r="C5" s="37"/>
      <c r="D5" s="37"/>
      <c r="E5" s="37"/>
      <c r="F5" s="30"/>
      <c r="G5" s="37"/>
      <c r="H5" s="30"/>
      <c r="I5" s="37"/>
    </row>
    <row r="6" customFormat="false" ht="15" hidden="false" customHeight="false" outlineLevel="0" collapsed="false">
      <c r="B6" s="36"/>
      <c r="C6" s="37"/>
      <c r="D6" s="37"/>
      <c r="E6" s="37"/>
      <c r="F6" s="30"/>
      <c r="G6" s="37"/>
      <c r="H6" s="30"/>
      <c r="I6" s="37"/>
    </row>
    <row r="7" customFormat="false" ht="15" hidden="false" customHeight="false" outlineLevel="0" collapsed="false">
      <c r="B7" s="36"/>
      <c r="C7" s="37"/>
      <c r="D7" s="37"/>
      <c r="E7" s="37"/>
      <c r="F7" s="30"/>
      <c r="G7" s="37"/>
      <c r="H7" s="30"/>
      <c r="I7" s="37"/>
    </row>
    <row r="8" customFormat="false" ht="15" hidden="false" customHeight="false" outlineLevel="0" collapsed="false">
      <c r="B8" s="36"/>
      <c r="C8" s="37"/>
      <c r="D8" s="37"/>
      <c r="E8" s="37"/>
      <c r="F8" s="30"/>
      <c r="G8" s="37"/>
      <c r="H8" s="30"/>
      <c r="I8" s="37"/>
    </row>
    <row r="9" customFormat="false" ht="15" hidden="false" customHeight="false" outlineLevel="0" collapsed="false">
      <c r="B9" s="36"/>
      <c r="C9" s="37"/>
      <c r="D9" s="37"/>
      <c r="E9" s="37"/>
      <c r="F9" s="30"/>
      <c r="G9" s="37"/>
      <c r="H9" s="30"/>
      <c r="I9" s="37"/>
    </row>
    <row r="10" customFormat="false" ht="15" hidden="false" customHeight="false" outlineLevel="0" collapsed="false">
      <c r="B10" s="36"/>
      <c r="C10" s="37"/>
      <c r="D10" s="37"/>
      <c r="E10" s="37"/>
      <c r="F10" s="30"/>
      <c r="G10" s="37"/>
      <c r="H10" s="30"/>
      <c r="I10" s="37"/>
    </row>
    <row r="11" customFormat="false" ht="15" hidden="false" customHeight="false" outlineLevel="0" collapsed="false">
      <c r="B11" s="36"/>
      <c r="C11" s="37"/>
      <c r="D11" s="37"/>
      <c r="E11" s="37"/>
      <c r="F11" s="30"/>
      <c r="G11" s="37"/>
      <c r="H11" s="30"/>
      <c r="I11" s="37"/>
    </row>
    <row r="12" customFormat="false" ht="15" hidden="false" customHeight="false" outlineLevel="0" collapsed="false">
      <c r="B12" s="36"/>
      <c r="C12" s="37"/>
      <c r="D12" s="37"/>
      <c r="E12" s="37"/>
      <c r="F12" s="30"/>
      <c r="G12" s="37"/>
      <c r="H12" s="30"/>
      <c r="I12" s="37"/>
    </row>
    <row r="13" customFormat="false" ht="15" hidden="false" customHeight="false" outlineLevel="0" collapsed="false">
      <c r="B13" s="36"/>
      <c r="C13" s="37"/>
      <c r="D13" s="37"/>
      <c r="E13" s="37"/>
      <c r="F13" s="30"/>
      <c r="G13" s="37"/>
      <c r="H13" s="30"/>
      <c r="I13" s="37"/>
    </row>
    <row r="14" customFormat="false" ht="15" hidden="false" customHeight="false" outlineLevel="0" collapsed="false">
      <c r="B14" s="36"/>
      <c r="C14" s="37"/>
      <c r="D14" s="37"/>
      <c r="E14" s="37"/>
      <c r="F14" s="30"/>
      <c r="G14" s="37"/>
      <c r="H14" s="30"/>
      <c r="I14" s="37"/>
    </row>
    <row r="15" customFormat="false" ht="15" hidden="false" customHeight="false" outlineLevel="0" collapsed="false">
      <c r="B15" s="36"/>
      <c r="C15" s="37"/>
      <c r="D15" s="37"/>
      <c r="E15" s="37"/>
      <c r="F15" s="30"/>
      <c r="G15" s="37"/>
      <c r="H15" s="30"/>
      <c r="I15" s="37"/>
    </row>
    <row r="16" customFormat="false" ht="15" hidden="false" customHeight="false" outlineLevel="0" collapsed="false">
      <c r="B16" s="36"/>
      <c r="C16" s="37"/>
      <c r="D16" s="37"/>
      <c r="E16" s="37"/>
      <c r="F16" s="30"/>
      <c r="G16" s="37"/>
      <c r="H16" s="30"/>
      <c r="I16" s="37"/>
    </row>
    <row r="17" customFormat="false" ht="15" hidden="false" customHeight="false" outlineLevel="0" collapsed="false">
      <c r="B17" s="36"/>
      <c r="C17" s="37"/>
      <c r="D17" s="37"/>
      <c r="E17" s="37"/>
      <c r="F17" s="30"/>
      <c r="G17" s="37"/>
      <c r="H17" s="30"/>
      <c r="I17" s="37"/>
    </row>
    <row r="18" customFormat="false" ht="15" hidden="false" customHeight="false" outlineLevel="0" collapsed="false">
      <c r="B18" s="36"/>
      <c r="C18" s="37"/>
      <c r="D18" s="37"/>
      <c r="E18" s="37"/>
      <c r="F18" s="30"/>
      <c r="G18" s="37"/>
      <c r="H18" s="30"/>
      <c r="I18" s="37"/>
    </row>
    <row r="19" customFormat="false" ht="15" hidden="false" customHeight="false" outlineLevel="0" collapsed="false">
      <c r="B19" s="36"/>
      <c r="C19" s="37"/>
      <c r="D19" s="37"/>
      <c r="E19" s="37"/>
      <c r="F19" s="30"/>
      <c r="G19" s="37"/>
      <c r="H19" s="30"/>
      <c r="I19" s="37"/>
    </row>
    <row r="20" customFormat="false" ht="15" hidden="false" customHeight="false" outlineLevel="0" collapsed="false">
      <c r="B20" s="36"/>
      <c r="C20" s="37"/>
      <c r="D20" s="37"/>
      <c r="E20" s="37"/>
      <c r="F20" s="30"/>
      <c r="G20" s="37"/>
      <c r="H20" s="30"/>
      <c r="I20" s="37"/>
    </row>
    <row r="21" customFormat="false" ht="15" hidden="false" customHeight="false" outlineLevel="0" collapsed="false">
      <c r="B21" s="36"/>
      <c r="C21" s="37"/>
      <c r="D21" s="37"/>
      <c r="E21" s="37"/>
      <c r="F21" s="30"/>
      <c r="G21" s="37"/>
      <c r="H21" s="30"/>
      <c r="I21" s="37"/>
    </row>
    <row r="22" customFormat="false" ht="15" hidden="false" customHeight="false" outlineLevel="0" collapsed="false">
      <c r="B22" s="36"/>
      <c r="C22" s="37"/>
      <c r="D22" s="37"/>
      <c r="E22" s="37"/>
      <c r="F22" s="30"/>
      <c r="G22" s="37"/>
      <c r="H22" s="30"/>
      <c r="I22" s="37"/>
    </row>
    <row r="23" customFormat="false" ht="15" hidden="false" customHeight="false" outlineLevel="0" collapsed="false">
      <c r="B23" s="36"/>
      <c r="C23" s="37"/>
      <c r="D23" s="37"/>
      <c r="E23" s="37"/>
      <c r="F23" s="30"/>
      <c r="G23" s="37"/>
      <c r="H23" s="30"/>
      <c r="I23" s="37"/>
    </row>
    <row r="24" customFormat="false" ht="15" hidden="false" customHeight="false" outlineLevel="0" collapsed="false">
      <c r="B24" s="36"/>
      <c r="C24" s="37"/>
      <c r="D24" s="37"/>
      <c r="E24" s="37"/>
      <c r="F24" s="30"/>
      <c r="G24" s="37"/>
      <c r="H24" s="30"/>
      <c r="I24" s="37"/>
    </row>
    <row r="25" customFormat="false" ht="15" hidden="false" customHeight="false" outlineLevel="0" collapsed="false">
      <c r="B25" s="36"/>
      <c r="C25" s="37"/>
      <c r="D25" s="37"/>
      <c r="E25" s="37"/>
      <c r="F25" s="30"/>
      <c r="G25" s="37"/>
      <c r="H25" s="30"/>
      <c r="I25" s="37"/>
    </row>
    <row r="26" customFormat="false" ht="15" hidden="false" customHeight="false" outlineLevel="0" collapsed="false">
      <c r="B26" s="36"/>
      <c r="C26" s="37"/>
      <c r="D26" s="37"/>
      <c r="E26" s="37"/>
      <c r="F26" s="30"/>
      <c r="G26" s="37"/>
      <c r="H26" s="30"/>
      <c r="I26" s="37"/>
    </row>
    <row r="27" customFormat="false" ht="15" hidden="false" customHeight="false" outlineLevel="0" collapsed="false">
      <c r="B27" s="36"/>
      <c r="C27" s="37"/>
      <c r="D27" s="37"/>
      <c r="E27" s="37"/>
      <c r="F27" s="30"/>
      <c r="G27" s="37"/>
      <c r="H27" s="30"/>
      <c r="I27" s="37"/>
    </row>
    <row r="28" customFormat="false" ht="15" hidden="false" customHeight="false" outlineLevel="0" collapsed="false">
      <c r="B28" s="36"/>
      <c r="C28" s="37"/>
      <c r="D28" s="37"/>
      <c r="E28" s="37"/>
      <c r="F28" s="30"/>
      <c r="G28" s="37"/>
      <c r="H28" s="30"/>
      <c r="I28" s="37"/>
    </row>
    <row r="29" customFormat="false" ht="15" hidden="false" customHeight="false" outlineLevel="0" collapsed="false">
      <c r="B29" s="36"/>
      <c r="C29" s="37"/>
      <c r="D29" s="37"/>
      <c r="E29" s="37"/>
      <c r="F29" s="30"/>
      <c r="G29" s="37"/>
      <c r="H29" s="30"/>
      <c r="I29" s="37"/>
    </row>
    <row r="30" customFormat="false" ht="15" hidden="false" customHeight="false" outlineLevel="0" collapsed="false">
      <c r="B30" s="36"/>
      <c r="C30" s="37"/>
      <c r="D30" s="37"/>
      <c r="E30" s="37"/>
      <c r="F30" s="30"/>
      <c r="G30" s="37"/>
      <c r="H30" s="30"/>
      <c r="I30" s="37"/>
    </row>
    <row r="31" customFormat="false" ht="15" hidden="false" customHeight="false" outlineLevel="0" collapsed="false">
      <c r="B31" s="36"/>
      <c r="C31" s="37"/>
      <c r="D31" s="37"/>
      <c r="E31" s="37"/>
      <c r="F31" s="30"/>
      <c r="G31" s="37"/>
      <c r="H31" s="30"/>
      <c r="I31" s="37"/>
    </row>
    <row r="32" customFormat="false" ht="15" hidden="false" customHeight="false" outlineLevel="0" collapsed="false">
      <c r="B32" s="36"/>
      <c r="C32" s="37"/>
      <c r="D32" s="37"/>
      <c r="E32" s="37"/>
      <c r="F32" s="30"/>
      <c r="G32" s="37"/>
      <c r="H32" s="30"/>
      <c r="I32" s="37"/>
    </row>
    <row r="33" customFormat="false" ht="15" hidden="false" customHeight="false" outlineLevel="0" collapsed="false">
      <c r="B33" s="36"/>
      <c r="C33" s="37"/>
      <c r="D33" s="37"/>
      <c r="E33" s="37"/>
      <c r="F33" s="30"/>
      <c r="G33" s="37"/>
      <c r="H33" s="30"/>
      <c r="I33" s="37"/>
    </row>
    <row r="34" customFormat="false" ht="15" hidden="false" customHeight="false" outlineLevel="0" collapsed="false">
      <c r="B34" s="36"/>
      <c r="C34" s="37"/>
      <c r="D34" s="37"/>
      <c r="E34" s="37"/>
      <c r="F34" s="30"/>
      <c r="G34" s="37"/>
      <c r="H34" s="30"/>
      <c r="I34" s="37"/>
    </row>
    <row r="35" customFormat="false" ht="15" hidden="false" customHeight="false" outlineLevel="0" collapsed="false">
      <c r="B35" s="36"/>
      <c r="C35" s="37"/>
      <c r="D35" s="37"/>
      <c r="E35" s="37"/>
      <c r="F35" s="30"/>
      <c r="G35" s="37"/>
      <c r="H35" s="30"/>
      <c r="I35" s="37"/>
    </row>
    <row r="36" customFormat="false" ht="15" hidden="false" customHeight="false" outlineLevel="0" collapsed="false">
      <c r="B36" s="36"/>
      <c r="C36" s="37"/>
      <c r="D36" s="37"/>
      <c r="E36" s="37"/>
      <c r="F36" s="30"/>
      <c r="G36" s="37"/>
      <c r="H36" s="30"/>
      <c r="I36" s="37"/>
    </row>
    <row r="37" customFormat="false" ht="15" hidden="false" customHeight="false" outlineLevel="0" collapsed="false">
      <c r="B37" s="36"/>
      <c r="C37" s="37"/>
      <c r="D37" s="37"/>
      <c r="E37" s="37"/>
      <c r="F37" s="30"/>
      <c r="G37" s="37"/>
      <c r="H37" s="30"/>
      <c r="I37" s="37"/>
    </row>
    <row r="38" customFormat="false" ht="15" hidden="false" customHeight="false" outlineLevel="0" collapsed="false">
      <c r="B38" s="36"/>
      <c r="C38" s="37"/>
      <c r="D38" s="37"/>
      <c r="E38" s="37"/>
      <c r="F38" s="30"/>
      <c r="G38" s="37"/>
      <c r="H38" s="30"/>
      <c r="I38" s="37"/>
    </row>
    <row r="39" customFormat="false" ht="15" hidden="false" customHeight="false" outlineLevel="0" collapsed="false">
      <c r="B39" s="36"/>
      <c r="C39" s="37"/>
      <c r="D39" s="37"/>
      <c r="E39" s="37"/>
      <c r="F39" s="30"/>
      <c r="G39" s="37"/>
      <c r="H39" s="30"/>
      <c r="I39" s="37"/>
    </row>
    <row r="40" customFormat="false" ht="15" hidden="false" customHeight="false" outlineLevel="0" collapsed="false">
      <c r="B40" s="36"/>
      <c r="C40" s="37"/>
      <c r="D40" s="37"/>
      <c r="E40" s="37"/>
      <c r="F40" s="30"/>
      <c r="G40" s="37"/>
      <c r="H40" s="30"/>
      <c r="I40" s="37"/>
    </row>
    <row r="41" customFormat="false" ht="15" hidden="false" customHeight="false" outlineLevel="0" collapsed="false">
      <c r="B41" s="36"/>
      <c r="C41" s="37"/>
      <c r="D41" s="37"/>
      <c r="E41" s="37"/>
      <c r="F41" s="30"/>
      <c r="G41" s="37"/>
      <c r="H41" s="30"/>
      <c r="I41" s="37"/>
    </row>
    <row r="42" customFormat="false" ht="15" hidden="false" customHeight="false" outlineLevel="0" collapsed="false">
      <c r="B42" s="36"/>
      <c r="C42" s="37"/>
      <c r="D42" s="37"/>
      <c r="E42" s="37"/>
      <c r="F42" s="30"/>
      <c r="G42" s="37"/>
      <c r="H42" s="30"/>
      <c r="I42" s="37"/>
    </row>
    <row r="43" customFormat="false" ht="15" hidden="false" customHeight="false" outlineLevel="0" collapsed="false">
      <c r="B43" s="36"/>
      <c r="C43" s="37"/>
      <c r="D43" s="37"/>
      <c r="E43" s="37"/>
      <c r="F43" s="30"/>
      <c r="G43" s="37"/>
      <c r="H43" s="30"/>
      <c r="I43" s="37"/>
    </row>
    <row r="44" customFormat="false" ht="15" hidden="false" customHeight="false" outlineLevel="0" collapsed="false">
      <c r="B44" s="36"/>
      <c r="C44" s="37"/>
      <c r="D44" s="37"/>
      <c r="E44" s="37"/>
      <c r="F44" s="30"/>
      <c r="G44" s="37"/>
      <c r="H44" s="30"/>
      <c r="I44" s="37"/>
    </row>
    <row r="45" customFormat="false" ht="15" hidden="false" customHeight="false" outlineLevel="0" collapsed="false">
      <c r="B45" s="36"/>
      <c r="C45" s="37"/>
      <c r="D45" s="37"/>
      <c r="E45" s="37"/>
      <c r="F45" s="30"/>
      <c r="G45" s="37"/>
      <c r="H45" s="30"/>
      <c r="I45" s="37"/>
    </row>
    <row r="46" customFormat="false" ht="15" hidden="false" customHeight="false" outlineLevel="0" collapsed="false">
      <c r="B46" s="36"/>
      <c r="C46" s="37"/>
      <c r="D46" s="37"/>
      <c r="E46" s="37"/>
      <c r="F46" s="30"/>
      <c r="G46" s="37"/>
      <c r="H46" s="30"/>
      <c r="I46" s="37"/>
    </row>
    <row r="47" customFormat="false" ht="15" hidden="false" customHeight="false" outlineLevel="0" collapsed="false">
      <c r="B47" s="36"/>
      <c r="C47" s="37"/>
      <c r="D47" s="37"/>
      <c r="E47" s="37"/>
      <c r="F47" s="30"/>
      <c r="G47" s="37"/>
      <c r="H47" s="30"/>
      <c r="I47" s="37"/>
    </row>
    <row r="48" customFormat="false" ht="15" hidden="false" customHeight="false" outlineLevel="0" collapsed="false">
      <c r="B48" s="36"/>
      <c r="C48" s="37"/>
      <c r="D48" s="37"/>
      <c r="E48" s="37"/>
      <c r="F48" s="30"/>
      <c r="G48" s="37"/>
      <c r="H48" s="30"/>
      <c r="I48" s="37"/>
    </row>
    <row r="49" customFormat="false" ht="15" hidden="false" customHeight="false" outlineLevel="0" collapsed="false">
      <c r="B49" s="36"/>
      <c r="C49" s="37"/>
      <c r="D49" s="37"/>
      <c r="E49" s="37"/>
      <c r="F49" s="30"/>
      <c r="G49" s="37"/>
      <c r="H49" s="30"/>
      <c r="I49" s="37"/>
    </row>
    <row r="50" customFormat="false" ht="15" hidden="false" customHeight="false" outlineLevel="0" collapsed="false">
      <c r="B50" s="36"/>
      <c r="C50" s="37"/>
      <c r="D50" s="37"/>
      <c r="E50" s="37"/>
      <c r="F50" s="30"/>
      <c r="G50" s="37"/>
      <c r="H50" s="30"/>
      <c r="I50" s="37"/>
    </row>
    <row r="51" customFormat="false" ht="15" hidden="false" customHeight="false" outlineLevel="0" collapsed="false">
      <c r="B51" s="36"/>
      <c r="C51" s="37"/>
      <c r="D51" s="37"/>
      <c r="E51" s="37"/>
      <c r="F51" s="30"/>
      <c r="G51" s="37"/>
      <c r="H51" s="30"/>
      <c r="I51" s="37"/>
    </row>
    <row r="52" customFormat="false" ht="15" hidden="false" customHeight="false" outlineLevel="0" collapsed="false">
      <c r="B52" s="36"/>
      <c r="C52" s="37"/>
      <c r="D52" s="37"/>
      <c r="E52" s="37"/>
      <c r="F52" s="30"/>
      <c r="G52" s="37"/>
      <c r="H52" s="30"/>
      <c r="I52" s="37"/>
    </row>
    <row r="53" customFormat="false" ht="15" hidden="false" customHeight="false" outlineLevel="0" collapsed="false">
      <c r="B53" s="36"/>
      <c r="C53" s="37"/>
      <c r="D53" s="37"/>
      <c r="E53" s="37"/>
      <c r="F53" s="30"/>
      <c r="G53" s="37"/>
      <c r="H53" s="30"/>
      <c r="I53" s="37"/>
    </row>
    <row r="54" customFormat="false" ht="15" hidden="false" customHeight="false" outlineLevel="0" collapsed="false">
      <c r="B54" s="36"/>
      <c r="C54" s="37"/>
      <c r="D54" s="37"/>
      <c r="E54" s="37"/>
      <c r="F54" s="30"/>
      <c r="G54" s="37"/>
      <c r="H54" s="30"/>
      <c r="I54" s="37"/>
    </row>
    <row r="55" customFormat="false" ht="15" hidden="false" customHeight="false" outlineLevel="0" collapsed="false">
      <c r="B55" s="36"/>
      <c r="C55" s="37"/>
      <c r="D55" s="37"/>
      <c r="E55" s="37"/>
      <c r="F55" s="30"/>
      <c r="G55" s="37"/>
      <c r="H55" s="30"/>
      <c r="I55" s="37"/>
    </row>
    <row r="56" customFormat="false" ht="15" hidden="false" customHeight="false" outlineLevel="0" collapsed="false">
      <c r="B56" s="36"/>
      <c r="C56" s="37"/>
      <c r="D56" s="37"/>
      <c r="E56" s="37"/>
      <c r="F56" s="30"/>
      <c r="G56" s="37"/>
      <c r="H56" s="30"/>
      <c r="I56" s="37"/>
    </row>
    <row r="57" customFormat="false" ht="15" hidden="false" customHeight="false" outlineLevel="0" collapsed="false">
      <c r="B57" s="36"/>
      <c r="C57" s="37"/>
      <c r="D57" s="37"/>
      <c r="E57" s="37"/>
      <c r="F57" s="30"/>
      <c r="G57" s="37"/>
      <c r="H57" s="30"/>
      <c r="I57" s="37"/>
    </row>
    <row r="58" customFormat="false" ht="15" hidden="false" customHeight="false" outlineLevel="0" collapsed="false">
      <c r="B58" s="36"/>
      <c r="C58" s="37"/>
      <c r="D58" s="37"/>
      <c r="E58" s="37"/>
      <c r="F58" s="30"/>
      <c r="G58" s="37"/>
      <c r="H58" s="30"/>
      <c r="I58" s="37"/>
    </row>
    <row r="59" customFormat="false" ht="15" hidden="false" customHeight="false" outlineLevel="0" collapsed="false">
      <c r="B59" s="36"/>
      <c r="C59" s="37"/>
      <c r="D59" s="37"/>
      <c r="E59" s="37"/>
      <c r="F59" s="30"/>
      <c r="G59" s="37"/>
      <c r="H59" s="30"/>
      <c r="I59" s="37"/>
    </row>
    <row r="60" customFormat="false" ht="15" hidden="false" customHeight="false" outlineLevel="0" collapsed="false">
      <c r="B60" s="36"/>
      <c r="C60" s="37"/>
      <c r="D60" s="37"/>
      <c r="E60" s="37"/>
      <c r="F60" s="30"/>
      <c r="G60" s="37"/>
      <c r="H60" s="30"/>
      <c r="I60" s="37"/>
    </row>
    <row r="61" customFormat="false" ht="15" hidden="false" customHeight="false" outlineLevel="0" collapsed="false">
      <c r="B61" s="36"/>
      <c r="C61" s="37"/>
      <c r="D61" s="37"/>
      <c r="E61" s="37"/>
      <c r="F61" s="30"/>
      <c r="G61" s="37"/>
      <c r="H61" s="30"/>
      <c r="I61" s="37"/>
    </row>
    <row r="62" customFormat="false" ht="15" hidden="false" customHeight="false" outlineLevel="0" collapsed="false">
      <c r="B62" s="36"/>
      <c r="C62" s="37"/>
      <c r="D62" s="37"/>
      <c r="E62" s="37"/>
      <c r="F62" s="30"/>
      <c r="G62" s="37"/>
      <c r="H62" s="30"/>
      <c r="I62" s="37"/>
    </row>
    <row r="63" customFormat="false" ht="15" hidden="false" customHeight="false" outlineLevel="0" collapsed="false">
      <c r="B63" s="36"/>
      <c r="C63" s="37"/>
      <c r="D63" s="37"/>
      <c r="E63" s="37"/>
      <c r="F63" s="30"/>
      <c r="G63" s="37"/>
      <c r="H63" s="30"/>
      <c r="I63" s="37"/>
    </row>
    <row r="64" customFormat="false" ht="15" hidden="false" customHeight="false" outlineLevel="0" collapsed="false">
      <c r="B64" s="36"/>
      <c r="C64" s="37"/>
      <c r="D64" s="37"/>
      <c r="E64" s="37"/>
      <c r="F64" s="30"/>
      <c r="G64" s="37"/>
      <c r="H64" s="30"/>
      <c r="I64" s="37"/>
    </row>
    <row r="65" customFormat="false" ht="15" hidden="false" customHeight="false" outlineLevel="0" collapsed="false">
      <c r="B65" s="36"/>
      <c r="C65" s="37"/>
      <c r="D65" s="37"/>
      <c r="E65" s="37"/>
      <c r="F65" s="30"/>
      <c r="G65" s="37"/>
      <c r="H65" s="30"/>
      <c r="I65" s="37"/>
    </row>
    <row r="66" customFormat="false" ht="15" hidden="false" customHeight="false" outlineLevel="0" collapsed="false">
      <c r="B66" s="36"/>
      <c r="C66" s="37"/>
      <c r="D66" s="37"/>
      <c r="E66" s="37"/>
      <c r="F66" s="30"/>
      <c r="G66" s="37"/>
      <c r="H66" s="30"/>
      <c r="I66" s="37"/>
    </row>
    <row r="67" customFormat="false" ht="15" hidden="false" customHeight="false" outlineLevel="0" collapsed="false">
      <c r="B67" s="36"/>
      <c r="C67" s="37"/>
      <c r="D67" s="37"/>
      <c r="E67" s="37"/>
      <c r="F67" s="30"/>
      <c r="G67" s="37"/>
      <c r="H67" s="30"/>
      <c r="I67" s="37"/>
    </row>
    <row r="68" customFormat="false" ht="15" hidden="false" customHeight="false" outlineLevel="0" collapsed="false">
      <c r="B68" s="36"/>
      <c r="C68" s="37"/>
      <c r="D68" s="37"/>
      <c r="E68" s="37"/>
      <c r="F68" s="30"/>
      <c r="G68" s="37"/>
      <c r="H68" s="30"/>
      <c r="I68" s="37"/>
    </row>
    <row r="69" customFormat="false" ht="15" hidden="false" customHeight="false" outlineLevel="0" collapsed="false">
      <c r="B69" s="36"/>
      <c r="C69" s="37"/>
      <c r="D69" s="37"/>
      <c r="E69" s="37"/>
      <c r="F69" s="30"/>
      <c r="G69" s="37"/>
      <c r="H69" s="30"/>
      <c r="I69" s="37"/>
    </row>
    <row r="70" customFormat="false" ht="15" hidden="false" customHeight="false" outlineLevel="0" collapsed="false">
      <c r="B70" s="36"/>
      <c r="C70" s="37"/>
      <c r="D70" s="37"/>
      <c r="E70" s="37"/>
      <c r="F70" s="30"/>
      <c r="G70" s="37"/>
      <c r="H70" s="30"/>
      <c r="I70" s="37"/>
    </row>
    <row r="71" customFormat="false" ht="15" hidden="false" customHeight="false" outlineLevel="0" collapsed="false">
      <c r="B71" s="36"/>
      <c r="C71" s="37"/>
      <c r="D71" s="37"/>
      <c r="E71" s="37"/>
      <c r="F71" s="30"/>
      <c r="G71" s="37"/>
      <c r="H71" s="30"/>
      <c r="I71" s="37"/>
    </row>
    <row r="72" customFormat="false" ht="15" hidden="false" customHeight="false" outlineLevel="0" collapsed="false">
      <c r="B72" s="36"/>
      <c r="C72" s="37"/>
      <c r="D72" s="37"/>
      <c r="E72" s="37"/>
      <c r="F72" s="30"/>
      <c r="G72" s="37"/>
      <c r="H72" s="30"/>
      <c r="I72" s="37"/>
    </row>
    <row r="73" customFormat="false" ht="15" hidden="false" customHeight="false" outlineLevel="0" collapsed="false">
      <c r="B73" s="36"/>
      <c r="C73" s="37"/>
      <c r="D73" s="37"/>
      <c r="E73" s="37"/>
      <c r="F73" s="30"/>
      <c r="G73" s="37"/>
      <c r="H73" s="30"/>
      <c r="I73" s="37"/>
    </row>
    <row r="74" customFormat="false" ht="15" hidden="false" customHeight="false" outlineLevel="0" collapsed="false">
      <c r="B74" s="36"/>
      <c r="C74" s="37"/>
      <c r="D74" s="37"/>
      <c r="E74" s="37"/>
      <c r="F74" s="30"/>
      <c r="G74" s="37"/>
      <c r="H74" s="30"/>
      <c r="I74" s="37"/>
    </row>
    <row r="75" customFormat="false" ht="15" hidden="false" customHeight="false" outlineLevel="0" collapsed="false">
      <c r="B75" s="36"/>
      <c r="C75" s="37"/>
      <c r="D75" s="37"/>
      <c r="E75" s="37"/>
      <c r="F75" s="30"/>
      <c r="G75" s="37"/>
      <c r="H75" s="30"/>
      <c r="I75" s="37"/>
    </row>
    <row r="76" customFormat="false" ht="15" hidden="false" customHeight="false" outlineLevel="0" collapsed="false">
      <c r="B76" s="36"/>
      <c r="C76" s="37"/>
      <c r="D76" s="37"/>
      <c r="E76" s="37"/>
      <c r="F76" s="30"/>
      <c r="G76" s="37"/>
      <c r="H76" s="30"/>
      <c r="I76" s="37"/>
    </row>
    <row r="77" customFormat="false" ht="15" hidden="false" customHeight="false" outlineLevel="0" collapsed="false">
      <c r="B77" s="36"/>
      <c r="C77" s="37"/>
      <c r="D77" s="37"/>
      <c r="E77" s="37"/>
      <c r="F77" s="30"/>
      <c r="G77" s="37"/>
      <c r="H77" s="30"/>
      <c r="I77" s="37"/>
    </row>
    <row r="78" customFormat="false" ht="15" hidden="false" customHeight="false" outlineLevel="0" collapsed="false">
      <c r="B78" s="36"/>
      <c r="C78" s="37"/>
      <c r="D78" s="37"/>
      <c r="E78" s="37"/>
      <c r="F78" s="30"/>
      <c r="G78" s="37"/>
      <c r="H78" s="30"/>
      <c r="I78" s="37"/>
    </row>
    <row r="79" customFormat="false" ht="15" hidden="false" customHeight="false" outlineLevel="0" collapsed="false">
      <c r="B79" s="36"/>
      <c r="C79" s="37"/>
      <c r="D79" s="37"/>
      <c r="E79" s="37"/>
      <c r="F79" s="30"/>
      <c r="G79" s="37"/>
      <c r="H79" s="30"/>
      <c r="I79" s="37"/>
    </row>
    <row r="80" customFormat="false" ht="15" hidden="false" customHeight="false" outlineLevel="0" collapsed="false">
      <c r="B80" s="36"/>
      <c r="C80" s="37"/>
      <c r="D80" s="37"/>
      <c r="E80" s="37"/>
      <c r="F80" s="30"/>
      <c r="G80" s="37"/>
      <c r="H80" s="30"/>
      <c r="I80" s="37"/>
    </row>
    <row r="81" customFormat="false" ht="15" hidden="false" customHeight="false" outlineLevel="0" collapsed="false">
      <c r="B81" s="36"/>
      <c r="C81" s="37"/>
      <c r="D81" s="37"/>
      <c r="E81" s="37"/>
      <c r="F81" s="30"/>
      <c r="G81" s="37"/>
      <c r="H81" s="30"/>
      <c r="I81" s="37"/>
    </row>
    <row r="82" customFormat="false" ht="15" hidden="false" customHeight="false" outlineLevel="0" collapsed="false">
      <c r="B82" s="36"/>
      <c r="C82" s="37"/>
      <c r="D82" s="37"/>
      <c r="E82" s="37"/>
      <c r="F82" s="30"/>
      <c r="G82" s="37"/>
      <c r="H82" s="30"/>
      <c r="I82" s="37"/>
    </row>
    <row r="83" customFormat="false" ht="15" hidden="false" customHeight="false" outlineLevel="0" collapsed="false">
      <c r="B83" s="36"/>
      <c r="C83" s="37"/>
      <c r="D83" s="37"/>
      <c r="E83" s="37"/>
      <c r="F83" s="30"/>
      <c r="G83" s="37"/>
      <c r="H83" s="30"/>
      <c r="I83" s="37"/>
    </row>
    <row r="84" customFormat="false" ht="15" hidden="false" customHeight="false" outlineLevel="0" collapsed="false">
      <c r="B84" s="36"/>
      <c r="C84" s="37"/>
      <c r="D84" s="37"/>
      <c r="E84" s="37"/>
      <c r="F84" s="30"/>
      <c r="G84" s="37"/>
      <c r="H84" s="30"/>
      <c r="I84" s="37"/>
    </row>
    <row r="85" customFormat="false" ht="15" hidden="false" customHeight="false" outlineLevel="0" collapsed="false">
      <c r="B85" s="36"/>
      <c r="C85" s="37"/>
      <c r="D85" s="37"/>
      <c r="E85" s="37"/>
      <c r="F85" s="30"/>
      <c r="G85" s="37"/>
      <c r="H85" s="30"/>
      <c r="I85" s="37"/>
    </row>
    <row r="86" customFormat="false" ht="15" hidden="false" customHeight="false" outlineLevel="0" collapsed="false">
      <c r="B86" s="36"/>
      <c r="C86" s="37"/>
      <c r="D86" s="37"/>
      <c r="E86" s="37"/>
      <c r="F86" s="30"/>
      <c r="G86" s="37"/>
      <c r="H86" s="30"/>
      <c r="I86" s="37"/>
    </row>
    <row r="87" customFormat="false" ht="15" hidden="false" customHeight="false" outlineLevel="0" collapsed="false">
      <c r="B87" s="36"/>
      <c r="C87" s="37"/>
      <c r="D87" s="37"/>
      <c r="E87" s="37"/>
      <c r="F87" s="30"/>
      <c r="G87" s="37"/>
      <c r="H87" s="30"/>
      <c r="I87" s="37"/>
    </row>
    <row r="88" customFormat="false" ht="15" hidden="false" customHeight="false" outlineLevel="0" collapsed="false">
      <c r="B88" s="36"/>
      <c r="C88" s="37"/>
      <c r="D88" s="37"/>
      <c r="E88" s="37"/>
      <c r="F88" s="30"/>
      <c r="G88" s="37"/>
      <c r="H88" s="30"/>
      <c r="I88" s="37"/>
    </row>
    <row r="89" customFormat="false" ht="15" hidden="false" customHeight="false" outlineLevel="0" collapsed="false">
      <c r="B89" s="36"/>
      <c r="C89" s="37"/>
      <c r="D89" s="37"/>
      <c r="E89" s="37"/>
      <c r="F89" s="30"/>
      <c r="G89" s="37"/>
      <c r="H89" s="30"/>
      <c r="I89" s="37"/>
    </row>
    <row r="90" customFormat="false" ht="15" hidden="false" customHeight="false" outlineLevel="0" collapsed="false">
      <c r="B90" s="36"/>
      <c r="C90" s="37"/>
      <c r="D90" s="37"/>
      <c r="E90" s="37"/>
      <c r="F90" s="30"/>
      <c r="G90" s="37"/>
      <c r="H90" s="30"/>
      <c r="I90" s="37"/>
    </row>
    <row r="91" customFormat="false" ht="15" hidden="false" customHeight="false" outlineLevel="0" collapsed="false">
      <c r="B91" s="36"/>
      <c r="C91" s="37"/>
      <c r="D91" s="37"/>
      <c r="E91" s="37"/>
      <c r="F91" s="30"/>
      <c r="G91" s="37"/>
      <c r="H91" s="30"/>
      <c r="I91" s="37"/>
    </row>
    <row r="92" customFormat="false" ht="15" hidden="false" customHeight="false" outlineLevel="0" collapsed="false">
      <c r="B92" s="36"/>
      <c r="C92" s="37"/>
      <c r="D92" s="37"/>
      <c r="E92" s="37"/>
      <c r="F92" s="30"/>
      <c r="G92" s="37"/>
      <c r="H92" s="30"/>
      <c r="I92" s="37"/>
    </row>
    <row r="93" customFormat="false" ht="15" hidden="false" customHeight="false" outlineLevel="0" collapsed="false">
      <c r="B93" s="36"/>
      <c r="C93" s="37"/>
      <c r="D93" s="37"/>
      <c r="E93" s="37"/>
      <c r="F93" s="30"/>
      <c r="G93" s="37"/>
      <c r="H93" s="30"/>
      <c r="I93" s="37"/>
    </row>
    <row r="94" customFormat="false" ht="15" hidden="false" customHeight="false" outlineLevel="0" collapsed="false">
      <c r="B94" s="36"/>
      <c r="C94" s="37"/>
      <c r="D94" s="37"/>
      <c r="E94" s="37"/>
      <c r="F94" s="30"/>
      <c r="G94" s="37"/>
      <c r="H94" s="30"/>
      <c r="I94" s="37"/>
    </row>
    <row r="95" customFormat="false" ht="15" hidden="false" customHeight="false" outlineLevel="0" collapsed="false">
      <c r="B95" s="36"/>
      <c r="C95" s="37"/>
      <c r="D95" s="37"/>
      <c r="E95" s="37"/>
      <c r="F95" s="30"/>
      <c r="G95" s="37"/>
      <c r="H95" s="30"/>
      <c r="I95" s="37"/>
    </row>
    <row r="96" customFormat="false" ht="15" hidden="false" customHeight="false" outlineLevel="0" collapsed="false">
      <c r="B96" s="36"/>
      <c r="C96" s="37"/>
      <c r="D96" s="37"/>
      <c r="E96" s="37"/>
      <c r="F96" s="30"/>
      <c r="G96" s="37"/>
      <c r="H96" s="30"/>
      <c r="I96" s="37"/>
    </row>
    <row r="97" customFormat="false" ht="15" hidden="false" customHeight="false" outlineLevel="0" collapsed="false">
      <c r="B97" s="36"/>
      <c r="C97" s="37"/>
      <c r="D97" s="37"/>
      <c r="E97" s="37"/>
      <c r="F97" s="30"/>
      <c r="G97" s="37"/>
      <c r="H97" s="30"/>
      <c r="I97" s="37"/>
    </row>
    <row r="98" customFormat="false" ht="15" hidden="false" customHeight="false" outlineLevel="0" collapsed="false">
      <c r="B98" s="36"/>
      <c r="C98" s="37"/>
      <c r="D98" s="37"/>
      <c r="E98" s="37"/>
      <c r="F98" s="30"/>
      <c r="G98" s="37"/>
      <c r="H98" s="30"/>
      <c r="I98" s="37"/>
    </row>
    <row r="99" customFormat="false" ht="15" hidden="false" customHeight="false" outlineLevel="0" collapsed="false">
      <c r="B99" s="36"/>
      <c r="C99" s="37"/>
      <c r="D99" s="37"/>
      <c r="E99" s="37"/>
      <c r="F99" s="30"/>
      <c r="G99" s="37"/>
      <c r="H99" s="30"/>
      <c r="I99" s="37"/>
    </row>
    <row r="100" customFormat="false" ht="15" hidden="false" customHeight="false" outlineLevel="0" collapsed="false">
      <c r="B100" s="36"/>
      <c r="C100" s="37"/>
      <c r="D100" s="37"/>
      <c r="E100" s="37"/>
      <c r="F100" s="30"/>
      <c r="G100" s="37"/>
      <c r="H100" s="30"/>
      <c r="I100" s="37"/>
    </row>
  </sheetData>
  <autoFilter ref="B2:I100"/>
  <mergeCells count="1">
    <mergeCell ref="B1:H1"/>
  </mergeCells>
  <conditionalFormatting sqref="C3:C100">
    <cfRule type="cellIs" priority="2" operator="equal" aboveAverage="0" equalAverage="0" bottom="0" percent="0" rank="0" text="" dxfId="10">
      <formula>"Member Expiring"</formula>
    </cfRule>
    <cfRule type="cellIs" priority="3" operator="equal" aboveAverage="0" equalAverage="0" bottom="0" percent="0" rank="0" text="" dxfId="12">
      <formula>"Trainer Hours Low"</formula>
    </cfRule>
  </conditionalFormatting>
  <conditionalFormatting sqref="I3:I100">
    <cfRule type="cellIs" priority="4" operator="equal" aboveAverage="0" equalAverage="0" bottom="0" percent="0" rank="0" text="" dxfId="11">
      <formula>"Sent"</formula>
    </cfRule>
    <cfRule type="cellIs" priority="5" operator="equal" aboveAverage="0" equalAverage="0" bottom="0" percent="0" rank="0" text="" dxfId="8">
      <formula>"Failed"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8"/>
    <col collapsed="false" customWidth="true" hidden="false" outlineLevel="0" max="9" min="9" style="0" width="12"/>
    <col collapsed="false" customWidth="true" hidden="false" outlineLevel="0" max="10" min="10" style="0" width="2"/>
  </cols>
  <sheetData>
    <row r="1" customFormat="false" ht="30" hidden="false" customHeight="true" outlineLevel="0" collapsed="false">
      <c r="B1" s="27" t="s">
        <v>99</v>
      </c>
      <c r="C1" s="27"/>
      <c r="D1" s="27"/>
      <c r="E1" s="27"/>
      <c r="F1" s="27"/>
      <c r="G1" s="27"/>
      <c r="H1" s="27"/>
      <c r="I1" s="27"/>
    </row>
    <row r="2" customFormat="false" ht="27.75" hidden="false" customHeight="true" outlineLevel="0" collapsed="false">
      <c r="B2" s="19" t="s">
        <v>63</v>
      </c>
      <c r="C2" s="19" t="s">
        <v>30</v>
      </c>
      <c r="D2" s="19" t="s">
        <v>31</v>
      </c>
      <c r="E2" s="19" t="s">
        <v>100</v>
      </c>
      <c r="F2" s="19" t="s">
        <v>101</v>
      </c>
      <c r="G2" s="19" t="s">
        <v>7</v>
      </c>
      <c r="H2" s="19" t="s">
        <v>102</v>
      </c>
      <c r="I2" s="19" t="s">
        <v>39</v>
      </c>
    </row>
    <row r="3" customFormat="false" ht="21.75" hidden="false" customHeight="true" outlineLevel="0" collapsed="false">
      <c r="B3" s="29" t="s">
        <v>103</v>
      </c>
      <c r="C3" s="30" t="s">
        <v>104</v>
      </c>
      <c r="D3" s="30" t="s">
        <v>105</v>
      </c>
      <c r="E3" s="29" t="s">
        <v>106</v>
      </c>
      <c r="F3" s="29" t="s">
        <v>107</v>
      </c>
      <c r="G3" s="30" t="s">
        <v>15</v>
      </c>
      <c r="H3" s="30" t="s">
        <v>108</v>
      </c>
      <c r="I3" s="29" t="s">
        <v>45</v>
      </c>
    </row>
    <row r="4" customFormat="false" ht="21.75" hidden="false" customHeight="true" outlineLevel="0" collapsed="false">
      <c r="B4" s="29" t="s">
        <v>70</v>
      </c>
      <c r="C4" s="30" t="s">
        <v>109</v>
      </c>
      <c r="D4" s="30" t="s">
        <v>110</v>
      </c>
      <c r="E4" s="29" t="s">
        <v>111</v>
      </c>
      <c r="F4" s="29" t="s">
        <v>112</v>
      </c>
      <c r="G4" s="30" t="s">
        <v>15</v>
      </c>
      <c r="H4" s="30" t="s">
        <v>113</v>
      </c>
      <c r="I4" s="29" t="s">
        <v>45</v>
      </c>
    </row>
    <row r="5" customFormat="false" ht="21.75" hidden="false" customHeight="true" outlineLevel="0" collapsed="false">
      <c r="B5" s="29" t="s">
        <v>75</v>
      </c>
      <c r="C5" s="30" t="s">
        <v>43</v>
      </c>
      <c r="D5" s="30" t="s">
        <v>114</v>
      </c>
      <c r="E5" s="29" t="s">
        <v>115</v>
      </c>
      <c r="F5" s="29" t="s">
        <v>116</v>
      </c>
      <c r="G5" s="30" t="s">
        <v>15</v>
      </c>
      <c r="H5" s="30" t="s">
        <v>117</v>
      </c>
      <c r="I5" s="29" t="s">
        <v>45</v>
      </c>
    </row>
    <row r="6" customFormat="false" ht="21.75" hidden="false" customHeight="true" outlineLevel="0" collapsed="false">
      <c r="B6" s="29" t="s">
        <v>118</v>
      </c>
      <c r="C6" s="30" t="s">
        <v>49</v>
      </c>
      <c r="D6" s="30" t="s">
        <v>119</v>
      </c>
      <c r="E6" s="29" t="s">
        <v>115</v>
      </c>
      <c r="F6" s="29" t="s">
        <v>116</v>
      </c>
      <c r="G6" s="30" t="s">
        <v>15</v>
      </c>
      <c r="H6" s="30" t="s">
        <v>120</v>
      </c>
      <c r="I6" s="29" t="s">
        <v>45</v>
      </c>
    </row>
    <row r="7" customFormat="false" ht="21.75" hidden="false" customHeight="true" outlineLevel="0" collapsed="false">
      <c r="B7" s="29" t="s">
        <v>82</v>
      </c>
      <c r="C7" s="30" t="s">
        <v>121</v>
      </c>
      <c r="D7" s="30" t="s">
        <v>122</v>
      </c>
      <c r="E7" s="29" t="s">
        <v>106</v>
      </c>
      <c r="F7" s="29" t="s">
        <v>107</v>
      </c>
      <c r="G7" s="30" t="s">
        <v>16</v>
      </c>
      <c r="H7" s="30" t="s">
        <v>123</v>
      </c>
      <c r="I7" s="29" t="s">
        <v>45</v>
      </c>
    </row>
    <row r="8" customFormat="false" ht="15" hidden="false" customHeight="false" outlineLevel="0" collapsed="false">
      <c r="B8" s="29"/>
      <c r="C8" s="30"/>
      <c r="D8" s="30"/>
      <c r="E8" s="29"/>
      <c r="F8" s="29"/>
      <c r="G8" s="30"/>
      <c r="H8" s="30"/>
      <c r="I8" s="29"/>
    </row>
    <row r="9" customFormat="false" ht="15" hidden="false" customHeight="false" outlineLevel="0" collapsed="false">
      <c r="B9" s="29"/>
      <c r="C9" s="30"/>
      <c r="D9" s="30"/>
      <c r="E9" s="29"/>
      <c r="F9" s="29"/>
      <c r="G9" s="30"/>
      <c r="H9" s="30"/>
      <c r="I9" s="29"/>
    </row>
    <row r="10" customFormat="false" ht="15" hidden="false" customHeight="false" outlineLevel="0" collapsed="false">
      <c r="B10" s="29"/>
      <c r="C10" s="30"/>
      <c r="D10" s="30"/>
      <c r="E10" s="29"/>
      <c r="F10" s="29"/>
      <c r="G10" s="30"/>
      <c r="H10" s="30"/>
      <c r="I10" s="29"/>
    </row>
    <row r="11" customFormat="false" ht="15" hidden="false" customHeight="false" outlineLevel="0" collapsed="false">
      <c r="B11" s="29"/>
      <c r="C11" s="30"/>
      <c r="D11" s="30"/>
      <c r="E11" s="29"/>
      <c r="F11" s="29"/>
      <c r="G11" s="30"/>
      <c r="H11" s="30"/>
      <c r="I11" s="29"/>
    </row>
    <row r="12" customFormat="false" ht="15" hidden="false" customHeight="false" outlineLevel="0" collapsed="false">
      <c r="B12" s="29"/>
      <c r="C12" s="30"/>
      <c r="D12" s="30"/>
      <c r="E12" s="29"/>
      <c r="F12" s="29"/>
      <c r="G12" s="30"/>
      <c r="H12" s="30"/>
      <c r="I12" s="29"/>
    </row>
    <row r="13" customFormat="false" ht="15" hidden="false" customHeight="false" outlineLevel="0" collapsed="false">
      <c r="B13" s="29"/>
      <c r="C13" s="30"/>
      <c r="D13" s="30"/>
      <c r="E13" s="29"/>
      <c r="F13" s="29"/>
      <c r="G13" s="30"/>
      <c r="H13" s="30"/>
      <c r="I13" s="29"/>
    </row>
    <row r="14" customFormat="false" ht="15" hidden="false" customHeight="false" outlineLevel="0" collapsed="false">
      <c r="B14" s="29"/>
      <c r="C14" s="30"/>
      <c r="D14" s="30"/>
      <c r="E14" s="29"/>
      <c r="F14" s="29"/>
      <c r="G14" s="30"/>
      <c r="H14" s="30"/>
      <c r="I14" s="29"/>
    </row>
    <row r="15" customFormat="false" ht="15" hidden="false" customHeight="false" outlineLevel="0" collapsed="false">
      <c r="B15" s="29"/>
      <c r="C15" s="30"/>
      <c r="D15" s="30"/>
      <c r="E15" s="29"/>
      <c r="F15" s="29"/>
      <c r="G15" s="30"/>
      <c r="H15" s="30"/>
      <c r="I15" s="29"/>
    </row>
    <row r="16" customFormat="false" ht="15" hidden="false" customHeight="false" outlineLevel="0" collapsed="false">
      <c r="B16" s="29"/>
      <c r="C16" s="30"/>
      <c r="D16" s="30"/>
      <c r="E16" s="29"/>
      <c r="F16" s="29"/>
      <c r="G16" s="30"/>
      <c r="H16" s="30"/>
      <c r="I16" s="29"/>
    </row>
    <row r="17" customFormat="false" ht="15" hidden="false" customHeight="false" outlineLevel="0" collapsed="false">
      <c r="B17" s="29"/>
      <c r="C17" s="30"/>
      <c r="D17" s="30"/>
      <c r="E17" s="29"/>
      <c r="F17" s="29"/>
      <c r="G17" s="30"/>
      <c r="H17" s="30"/>
      <c r="I17" s="29"/>
    </row>
    <row r="18" customFormat="false" ht="15" hidden="false" customHeight="false" outlineLevel="0" collapsed="false">
      <c r="B18" s="29"/>
      <c r="C18" s="30"/>
      <c r="D18" s="30"/>
      <c r="E18" s="29"/>
      <c r="F18" s="29"/>
      <c r="G18" s="30"/>
      <c r="H18" s="30"/>
      <c r="I18" s="29"/>
    </row>
    <row r="19" customFormat="false" ht="15" hidden="false" customHeight="false" outlineLevel="0" collapsed="false">
      <c r="B19" s="29"/>
      <c r="C19" s="30"/>
      <c r="D19" s="30"/>
      <c r="E19" s="29"/>
      <c r="F19" s="29"/>
      <c r="G19" s="30"/>
      <c r="H19" s="30"/>
      <c r="I19" s="29"/>
    </row>
    <row r="20" customFormat="false" ht="15" hidden="false" customHeight="false" outlineLevel="0" collapsed="false">
      <c r="B20" s="29"/>
      <c r="C20" s="30"/>
      <c r="D20" s="30"/>
      <c r="E20" s="29"/>
      <c r="F20" s="29"/>
      <c r="G20" s="30"/>
      <c r="H20" s="30"/>
      <c r="I20" s="29"/>
    </row>
    <row r="21" customFormat="false" ht="15" hidden="false" customHeight="false" outlineLevel="0" collapsed="false">
      <c r="B21" s="29"/>
      <c r="C21" s="30"/>
      <c r="D21" s="30"/>
      <c r="E21" s="29"/>
      <c r="F21" s="29"/>
      <c r="G21" s="30"/>
      <c r="H21" s="30"/>
      <c r="I21" s="29"/>
    </row>
    <row r="22" customFormat="false" ht="15" hidden="false" customHeight="false" outlineLevel="0" collapsed="false">
      <c r="B22" s="29"/>
      <c r="C22" s="30"/>
      <c r="D22" s="30"/>
      <c r="E22" s="29"/>
      <c r="F22" s="29"/>
      <c r="G22" s="30"/>
      <c r="H22" s="30"/>
      <c r="I22" s="29"/>
    </row>
    <row r="23" customFormat="false" ht="15" hidden="false" customHeight="false" outlineLevel="0" collapsed="false">
      <c r="B23" s="29"/>
      <c r="C23" s="30"/>
      <c r="D23" s="30"/>
      <c r="E23" s="29"/>
      <c r="F23" s="29"/>
      <c r="G23" s="30"/>
      <c r="H23" s="30"/>
      <c r="I23" s="29"/>
    </row>
    <row r="24" customFormat="false" ht="15" hidden="false" customHeight="false" outlineLevel="0" collapsed="false">
      <c r="B24" s="29"/>
      <c r="C24" s="30"/>
      <c r="D24" s="30"/>
      <c r="E24" s="29"/>
      <c r="F24" s="29"/>
      <c r="G24" s="30"/>
      <c r="H24" s="30"/>
      <c r="I24" s="29"/>
    </row>
    <row r="25" customFormat="false" ht="15" hidden="false" customHeight="false" outlineLevel="0" collapsed="false">
      <c r="B25" s="29"/>
      <c r="C25" s="30"/>
      <c r="D25" s="30"/>
      <c r="E25" s="29"/>
      <c r="F25" s="29"/>
      <c r="G25" s="30"/>
      <c r="H25" s="30"/>
      <c r="I25" s="29"/>
    </row>
    <row r="26" customFormat="false" ht="15" hidden="false" customHeight="false" outlineLevel="0" collapsed="false">
      <c r="B26" s="29"/>
      <c r="C26" s="30"/>
      <c r="D26" s="30"/>
      <c r="E26" s="29"/>
      <c r="F26" s="29"/>
      <c r="G26" s="30"/>
      <c r="H26" s="30"/>
      <c r="I26" s="29"/>
    </row>
    <row r="27" customFormat="false" ht="15" hidden="false" customHeight="false" outlineLevel="0" collapsed="false">
      <c r="B27" s="29"/>
      <c r="C27" s="30"/>
      <c r="D27" s="30"/>
      <c r="E27" s="29"/>
      <c r="F27" s="29"/>
      <c r="G27" s="30"/>
      <c r="H27" s="30"/>
      <c r="I27" s="29"/>
    </row>
    <row r="28" customFormat="false" ht="15" hidden="false" customHeight="false" outlineLevel="0" collapsed="false">
      <c r="B28" s="29"/>
      <c r="C28" s="30"/>
      <c r="D28" s="30"/>
      <c r="E28" s="29"/>
      <c r="F28" s="29"/>
      <c r="G28" s="30"/>
      <c r="H28" s="30"/>
      <c r="I28" s="29"/>
    </row>
    <row r="29" customFormat="false" ht="15" hidden="false" customHeight="false" outlineLevel="0" collapsed="false">
      <c r="B29" s="29"/>
      <c r="C29" s="30"/>
      <c r="D29" s="30"/>
      <c r="E29" s="29"/>
      <c r="F29" s="29"/>
      <c r="G29" s="30"/>
      <c r="H29" s="30"/>
      <c r="I29" s="29"/>
    </row>
    <row r="30" customFormat="false" ht="15" hidden="false" customHeight="false" outlineLevel="0" collapsed="false">
      <c r="B30" s="29"/>
      <c r="C30" s="30"/>
      <c r="D30" s="30"/>
      <c r="E30" s="29"/>
      <c r="F30" s="29"/>
      <c r="G30" s="30"/>
      <c r="H30" s="30"/>
      <c r="I30" s="29"/>
    </row>
    <row r="31" customFormat="false" ht="15" hidden="false" customHeight="false" outlineLevel="0" collapsed="false">
      <c r="B31" s="29"/>
      <c r="C31" s="30"/>
      <c r="D31" s="30"/>
      <c r="E31" s="29"/>
      <c r="F31" s="29"/>
      <c r="G31" s="30"/>
      <c r="H31" s="30"/>
      <c r="I31" s="29"/>
    </row>
    <row r="32" customFormat="false" ht="15" hidden="false" customHeight="false" outlineLevel="0" collapsed="false">
      <c r="B32" s="29"/>
      <c r="C32" s="30"/>
      <c r="D32" s="30"/>
      <c r="E32" s="29"/>
      <c r="F32" s="29"/>
      <c r="G32" s="30"/>
      <c r="H32" s="30"/>
      <c r="I32" s="29"/>
    </row>
    <row r="33" customFormat="false" ht="15" hidden="false" customHeight="false" outlineLevel="0" collapsed="false">
      <c r="B33" s="29"/>
      <c r="C33" s="30"/>
      <c r="D33" s="30"/>
      <c r="E33" s="29"/>
      <c r="F33" s="29"/>
      <c r="G33" s="30"/>
      <c r="H33" s="30"/>
      <c r="I33" s="29"/>
    </row>
    <row r="34" customFormat="false" ht="15" hidden="false" customHeight="false" outlineLevel="0" collapsed="false">
      <c r="B34" s="29"/>
      <c r="C34" s="30"/>
      <c r="D34" s="30"/>
      <c r="E34" s="29"/>
      <c r="F34" s="29"/>
      <c r="G34" s="30"/>
      <c r="H34" s="30"/>
      <c r="I34" s="29"/>
    </row>
    <row r="35" customFormat="false" ht="15" hidden="false" customHeight="false" outlineLevel="0" collapsed="false">
      <c r="B35" s="29"/>
      <c r="C35" s="30"/>
      <c r="D35" s="30"/>
      <c r="E35" s="29"/>
      <c r="F35" s="29"/>
      <c r="G35" s="30"/>
      <c r="H35" s="30"/>
      <c r="I35" s="29"/>
    </row>
    <row r="36" customFormat="false" ht="15" hidden="false" customHeight="false" outlineLevel="0" collapsed="false">
      <c r="B36" s="29"/>
      <c r="C36" s="30"/>
      <c r="D36" s="30"/>
      <c r="E36" s="29"/>
      <c r="F36" s="29"/>
      <c r="G36" s="30"/>
      <c r="H36" s="30"/>
      <c r="I36" s="29"/>
    </row>
    <row r="37" customFormat="false" ht="15" hidden="false" customHeight="false" outlineLevel="0" collapsed="false">
      <c r="B37" s="29"/>
      <c r="C37" s="30"/>
      <c r="D37" s="30"/>
      <c r="E37" s="29"/>
      <c r="F37" s="29"/>
      <c r="G37" s="30"/>
      <c r="H37" s="30"/>
      <c r="I37" s="29"/>
    </row>
    <row r="38" customFormat="false" ht="15" hidden="false" customHeight="false" outlineLevel="0" collapsed="false">
      <c r="B38" s="29"/>
      <c r="C38" s="30"/>
      <c r="D38" s="30"/>
      <c r="E38" s="29"/>
      <c r="F38" s="29"/>
      <c r="G38" s="30"/>
      <c r="H38" s="30"/>
      <c r="I38" s="29"/>
    </row>
    <row r="39" customFormat="false" ht="15" hidden="false" customHeight="false" outlineLevel="0" collapsed="false">
      <c r="B39" s="29"/>
      <c r="C39" s="30"/>
      <c r="D39" s="30"/>
      <c r="E39" s="29"/>
      <c r="F39" s="29"/>
      <c r="G39" s="30"/>
      <c r="H39" s="30"/>
      <c r="I39" s="29"/>
    </row>
    <row r="40" customFormat="false" ht="15" hidden="false" customHeight="false" outlineLevel="0" collapsed="false">
      <c r="B40" s="29"/>
      <c r="C40" s="30"/>
      <c r="D40" s="30"/>
      <c r="E40" s="29"/>
      <c r="F40" s="29"/>
      <c r="G40" s="30"/>
      <c r="H40" s="30"/>
      <c r="I40" s="29"/>
    </row>
  </sheetData>
  <autoFilter ref="B2:I40"/>
  <mergeCells count="1">
    <mergeCell ref="B1:I1"/>
  </mergeCells>
  <dataValidations count="2">
    <dataValidation allowBlank="true" errorStyle="stop" operator="between" showDropDown="false" showErrorMessage="false" showInputMessage="false" sqref="C3:C500 F3:G500" type="list">
      <formula1>Settings!$B$6:$B$10</formula1>
      <formula2>0</formula2>
    </dataValidation>
    <dataValidation allowBlank="true" errorStyle="stop" operator="between" showDropDown="false" showErrorMessage="false" showInputMessage="false" sqref="I3:I500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50"/>
    <col collapsed="false" customWidth="true" hidden="false" outlineLevel="0" max="7" min="5" style="0" width="22"/>
  </cols>
  <sheetData>
    <row r="2" customFormat="false" ht="27.75" hidden="false" customHeight="true" outlineLevel="0" collapsed="false">
      <c r="B2" s="27" t="s">
        <v>124</v>
      </c>
      <c r="C2" s="27"/>
      <c r="D2" s="27"/>
      <c r="E2" s="27"/>
      <c r="F2" s="27"/>
      <c r="G2" s="27"/>
    </row>
    <row r="4" customFormat="false" ht="21.75" hidden="false" customHeight="true" outlineLevel="0" collapsed="false">
      <c r="B4" s="45" t="s">
        <v>125</v>
      </c>
      <c r="C4" s="45"/>
      <c r="D4" s="45"/>
      <c r="E4" s="45"/>
      <c r="F4" s="45"/>
      <c r="G4" s="45"/>
    </row>
    <row r="5" customFormat="false" ht="36" hidden="false" customHeight="true" outlineLevel="0" collapsed="false">
      <c r="B5" s="28" t="s">
        <v>126</v>
      </c>
      <c r="C5" s="28" t="s">
        <v>127</v>
      </c>
      <c r="D5" s="28" t="s">
        <v>128</v>
      </c>
      <c r="E5" s="28" t="s">
        <v>129</v>
      </c>
      <c r="F5" s="28" t="s">
        <v>130</v>
      </c>
      <c r="G5" s="28" t="s">
        <v>131</v>
      </c>
    </row>
    <row r="6" customFormat="false" ht="21.75" hidden="false" customHeight="true" outlineLevel="0" collapsed="false">
      <c r="B6" s="37" t="s">
        <v>15</v>
      </c>
      <c r="C6" s="30" t="s">
        <v>132</v>
      </c>
      <c r="D6" s="30" t="s">
        <v>133</v>
      </c>
      <c r="E6" s="30" t="s">
        <v>134</v>
      </c>
      <c r="F6" s="37" t="s">
        <v>135</v>
      </c>
      <c r="G6" s="37" t="s">
        <v>136</v>
      </c>
    </row>
    <row r="7" customFormat="false" ht="21.75" hidden="false" customHeight="true" outlineLevel="0" collapsed="false">
      <c r="B7" s="37" t="s">
        <v>16</v>
      </c>
      <c r="C7" s="30" t="s">
        <v>137</v>
      </c>
      <c r="D7" s="30" t="s">
        <v>133</v>
      </c>
      <c r="E7" s="30" t="s">
        <v>138</v>
      </c>
      <c r="F7" s="37" t="s">
        <v>135</v>
      </c>
      <c r="G7" s="37" t="s">
        <v>139</v>
      </c>
    </row>
    <row r="8" customFormat="false" ht="21.75" hidden="false" customHeight="true" outlineLevel="0" collapsed="false">
      <c r="B8" s="37" t="s">
        <v>17</v>
      </c>
      <c r="C8" s="30" t="s">
        <v>140</v>
      </c>
      <c r="D8" s="30" t="s">
        <v>133</v>
      </c>
      <c r="E8" s="30" t="s">
        <v>141</v>
      </c>
      <c r="F8" s="37" t="s">
        <v>135</v>
      </c>
      <c r="G8" s="37" t="s">
        <v>142</v>
      </c>
    </row>
    <row r="11" customFormat="false" ht="21.75" hidden="false" customHeight="true" outlineLevel="0" collapsed="false">
      <c r="B11" s="45" t="s">
        <v>143</v>
      </c>
      <c r="C11" s="45"/>
      <c r="D11" s="45"/>
      <c r="E11" s="45"/>
      <c r="F11" s="45"/>
      <c r="G11" s="45"/>
    </row>
    <row r="12" customFormat="false" ht="24" hidden="false" customHeight="true" outlineLevel="0" collapsed="false">
      <c r="B12" s="19" t="s">
        <v>144</v>
      </c>
      <c r="C12" s="19" t="s">
        <v>145</v>
      </c>
      <c r="D12" s="19" t="s">
        <v>146</v>
      </c>
      <c r="E12" s="19"/>
      <c r="F12" s="19"/>
      <c r="G12" s="19"/>
    </row>
    <row r="13" customFormat="false" ht="21.75" hidden="false" customHeight="true" outlineLevel="0" collapsed="false">
      <c r="B13" s="46" t="s">
        <v>147</v>
      </c>
      <c r="C13" s="47" t="s">
        <v>148</v>
      </c>
      <c r="D13" s="48" t="s">
        <v>149</v>
      </c>
      <c r="E13" s="48"/>
      <c r="F13" s="48"/>
      <c r="G13" s="48"/>
    </row>
    <row r="14" customFormat="false" ht="21.75" hidden="false" customHeight="true" outlineLevel="0" collapsed="false">
      <c r="B14" s="46" t="s">
        <v>150</v>
      </c>
      <c r="C14" s="47" t="n">
        <v>15</v>
      </c>
      <c r="D14" s="48" t="s">
        <v>151</v>
      </c>
      <c r="E14" s="48"/>
      <c r="F14" s="48"/>
      <c r="G14" s="48"/>
    </row>
    <row r="15" customFormat="false" ht="21.75" hidden="false" customHeight="true" outlineLevel="0" collapsed="false">
      <c r="B15" s="46" t="s">
        <v>152</v>
      </c>
      <c r="C15" s="47" t="n">
        <v>3</v>
      </c>
      <c r="D15" s="48" t="s">
        <v>153</v>
      </c>
      <c r="E15" s="48"/>
      <c r="F15" s="48"/>
      <c r="G15" s="48"/>
    </row>
    <row r="16" customFormat="false" ht="21.75" hidden="false" customHeight="true" outlineLevel="0" collapsed="false">
      <c r="B16" s="46" t="s">
        <v>154</v>
      </c>
      <c r="C16" s="47" t="s">
        <v>155</v>
      </c>
      <c r="D16" s="48" t="s">
        <v>156</v>
      </c>
      <c r="E16" s="48"/>
      <c r="F16" s="48"/>
      <c r="G16" s="48"/>
    </row>
    <row r="17" customFormat="false" ht="21.75" hidden="false" customHeight="true" outlineLevel="0" collapsed="false">
      <c r="B17" s="46" t="s">
        <v>157</v>
      </c>
      <c r="C17" s="47" t="s">
        <v>158</v>
      </c>
      <c r="D17" s="48" t="s">
        <v>159</v>
      </c>
      <c r="E17" s="48"/>
      <c r="F17" s="48"/>
      <c r="G17" s="48"/>
    </row>
    <row r="18" customFormat="false" ht="21.75" hidden="false" customHeight="true" outlineLevel="0" collapsed="false">
      <c r="B18" s="46" t="s">
        <v>160</v>
      </c>
      <c r="C18" s="47" t="s">
        <v>161</v>
      </c>
      <c r="D18" s="48" t="s">
        <v>162</v>
      </c>
      <c r="E18" s="48"/>
      <c r="F18" s="48"/>
      <c r="G18" s="48"/>
    </row>
  </sheetData>
  <mergeCells count="10">
    <mergeCell ref="B2:G2"/>
    <mergeCell ref="B4:G4"/>
    <mergeCell ref="B11:G11"/>
    <mergeCell ref="D12:G12"/>
    <mergeCell ref="D13:G13"/>
    <mergeCell ref="D14:G14"/>
    <mergeCell ref="D15:G15"/>
    <mergeCell ref="D16:G16"/>
    <mergeCell ref="D17:G17"/>
    <mergeCell ref="D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6" min="6" style="0" width="22"/>
    <col collapsed="false" customWidth="true" hidden="false" outlineLevel="0" max="7" min="7" style="0" width="2"/>
  </cols>
  <sheetData>
    <row r="1" customFormat="false" ht="30" hidden="false" customHeight="true" outlineLevel="0" collapsed="false">
      <c r="B1" s="27" t="s">
        <v>163</v>
      </c>
      <c r="C1" s="27"/>
      <c r="D1" s="27"/>
      <c r="E1" s="27"/>
      <c r="F1" s="27"/>
    </row>
    <row r="2" customFormat="false" ht="27.75" hidden="false" customHeight="true" outlineLevel="0" collapsed="false">
      <c r="B2" s="19" t="s">
        <v>62</v>
      </c>
      <c r="C2" s="19" t="s">
        <v>164</v>
      </c>
      <c r="D2" s="19" t="s">
        <v>101</v>
      </c>
      <c r="E2" s="19" t="s">
        <v>7</v>
      </c>
      <c r="F2" s="19" t="s">
        <v>165</v>
      </c>
    </row>
    <row r="3" customFormat="false" ht="15" hidden="false" customHeight="false" outlineLevel="0" collapsed="false">
      <c r="B3" s="49"/>
      <c r="C3" s="30"/>
      <c r="D3" s="37"/>
      <c r="E3" s="37"/>
      <c r="F3" s="30"/>
    </row>
    <row r="4" customFormat="false" ht="15" hidden="false" customHeight="false" outlineLevel="0" collapsed="false">
      <c r="B4" s="49"/>
      <c r="C4" s="30"/>
      <c r="D4" s="37"/>
      <c r="E4" s="37"/>
      <c r="F4" s="30"/>
    </row>
    <row r="5" customFormat="false" ht="15" hidden="false" customHeight="false" outlineLevel="0" collapsed="false">
      <c r="B5" s="49"/>
      <c r="C5" s="30"/>
      <c r="D5" s="37"/>
      <c r="E5" s="37"/>
      <c r="F5" s="30"/>
    </row>
    <row r="6" customFormat="false" ht="15" hidden="false" customHeight="false" outlineLevel="0" collapsed="false">
      <c r="B6" s="49"/>
      <c r="C6" s="30"/>
      <c r="D6" s="37"/>
      <c r="E6" s="37"/>
      <c r="F6" s="30"/>
    </row>
    <row r="7" customFormat="false" ht="15" hidden="false" customHeight="false" outlineLevel="0" collapsed="false">
      <c r="B7" s="49"/>
      <c r="C7" s="30"/>
      <c r="D7" s="37"/>
      <c r="E7" s="37"/>
      <c r="F7" s="30"/>
    </row>
    <row r="8" customFormat="false" ht="15" hidden="false" customHeight="false" outlineLevel="0" collapsed="false">
      <c r="B8" s="49"/>
      <c r="C8" s="30"/>
      <c r="D8" s="37"/>
      <c r="E8" s="37"/>
      <c r="F8" s="30"/>
    </row>
    <row r="9" customFormat="false" ht="15" hidden="false" customHeight="false" outlineLevel="0" collapsed="false">
      <c r="B9" s="49"/>
      <c r="C9" s="30"/>
      <c r="D9" s="37"/>
      <c r="E9" s="37"/>
      <c r="F9" s="30"/>
    </row>
    <row r="10" customFormat="false" ht="15" hidden="false" customHeight="false" outlineLevel="0" collapsed="false">
      <c r="B10" s="49"/>
      <c r="C10" s="30"/>
      <c r="D10" s="37"/>
      <c r="E10" s="37"/>
      <c r="F10" s="30"/>
    </row>
    <row r="11" customFormat="false" ht="15" hidden="false" customHeight="false" outlineLevel="0" collapsed="false">
      <c r="B11" s="49"/>
      <c r="C11" s="30"/>
      <c r="D11" s="37"/>
      <c r="E11" s="37"/>
      <c r="F11" s="30"/>
    </row>
    <row r="12" customFormat="false" ht="15" hidden="false" customHeight="false" outlineLevel="0" collapsed="false">
      <c r="B12" s="49"/>
      <c r="C12" s="30"/>
      <c r="D12" s="37"/>
      <c r="E12" s="37"/>
      <c r="F12" s="30"/>
    </row>
    <row r="13" customFormat="false" ht="15" hidden="false" customHeight="false" outlineLevel="0" collapsed="false">
      <c r="B13" s="49"/>
      <c r="C13" s="30"/>
      <c r="D13" s="37"/>
      <c r="E13" s="37"/>
      <c r="F13" s="30"/>
    </row>
    <row r="14" customFormat="false" ht="15" hidden="false" customHeight="false" outlineLevel="0" collapsed="false">
      <c r="B14" s="49"/>
      <c r="C14" s="30"/>
      <c r="D14" s="37"/>
      <c r="E14" s="37"/>
      <c r="F14" s="30"/>
    </row>
    <row r="15" customFormat="false" ht="15" hidden="false" customHeight="false" outlineLevel="0" collapsed="false">
      <c r="B15" s="49"/>
      <c r="C15" s="30"/>
      <c r="D15" s="37"/>
      <c r="E15" s="37"/>
      <c r="F15" s="30"/>
    </row>
    <row r="16" customFormat="false" ht="15" hidden="false" customHeight="false" outlineLevel="0" collapsed="false">
      <c r="B16" s="49"/>
      <c r="C16" s="30"/>
      <c r="D16" s="37"/>
      <c r="E16" s="37"/>
      <c r="F16" s="30"/>
    </row>
    <row r="17" customFormat="false" ht="15" hidden="false" customHeight="false" outlineLevel="0" collapsed="false">
      <c r="B17" s="49"/>
      <c r="C17" s="30"/>
      <c r="D17" s="37"/>
      <c r="E17" s="37"/>
      <c r="F17" s="30"/>
    </row>
    <row r="18" customFormat="false" ht="15" hidden="false" customHeight="false" outlineLevel="0" collapsed="false">
      <c r="B18" s="49"/>
      <c r="C18" s="30"/>
      <c r="D18" s="37"/>
      <c r="E18" s="37"/>
      <c r="F18" s="30"/>
    </row>
    <row r="19" customFormat="false" ht="15" hidden="false" customHeight="false" outlineLevel="0" collapsed="false">
      <c r="B19" s="49"/>
      <c r="C19" s="30"/>
      <c r="D19" s="37"/>
      <c r="E19" s="37"/>
      <c r="F19" s="30"/>
    </row>
    <row r="20" customFormat="false" ht="15" hidden="false" customHeight="false" outlineLevel="0" collapsed="false">
      <c r="B20" s="49"/>
      <c r="C20" s="30"/>
      <c r="D20" s="37"/>
      <c r="E20" s="37"/>
      <c r="F20" s="30"/>
    </row>
    <row r="21" customFormat="false" ht="15" hidden="false" customHeight="false" outlineLevel="0" collapsed="false">
      <c r="B21" s="49"/>
      <c r="C21" s="30"/>
      <c r="D21" s="37"/>
      <c r="E21" s="37"/>
      <c r="F21" s="30"/>
    </row>
    <row r="22" customFormat="false" ht="15" hidden="false" customHeight="false" outlineLevel="0" collapsed="false">
      <c r="B22" s="49"/>
      <c r="C22" s="30"/>
      <c r="D22" s="37"/>
      <c r="E22" s="37"/>
      <c r="F22" s="30"/>
    </row>
    <row r="23" customFormat="false" ht="15" hidden="false" customHeight="false" outlineLevel="0" collapsed="false">
      <c r="B23" s="49"/>
      <c r="C23" s="30"/>
      <c r="D23" s="37"/>
      <c r="E23" s="37"/>
      <c r="F23" s="30"/>
    </row>
    <row r="24" customFormat="false" ht="15" hidden="false" customHeight="false" outlineLevel="0" collapsed="false">
      <c r="B24" s="49"/>
      <c r="C24" s="30"/>
      <c r="D24" s="37"/>
      <c r="E24" s="37"/>
      <c r="F24" s="30"/>
    </row>
    <row r="25" customFormat="false" ht="15" hidden="false" customHeight="false" outlineLevel="0" collapsed="false">
      <c r="B25" s="49"/>
      <c r="C25" s="30"/>
      <c r="D25" s="37"/>
      <c r="E25" s="37"/>
      <c r="F25" s="30"/>
    </row>
    <row r="26" customFormat="false" ht="15" hidden="false" customHeight="false" outlineLevel="0" collapsed="false">
      <c r="B26" s="49"/>
      <c r="C26" s="30"/>
      <c r="D26" s="37"/>
      <c r="E26" s="37"/>
      <c r="F26" s="30"/>
    </row>
    <row r="27" customFormat="false" ht="15" hidden="false" customHeight="false" outlineLevel="0" collapsed="false">
      <c r="B27" s="49"/>
      <c r="C27" s="30"/>
      <c r="D27" s="37"/>
      <c r="E27" s="37"/>
      <c r="F27" s="30"/>
    </row>
    <row r="28" customFormat="false" ht="15" hidden="false" customHeight="false" outlineLevel="0" collapsed="false">
      <c r="B28" s="49"/>
      <c r="C28" s="30"/>
      <c r="D28" s="37"/>
      <c r="E28" s="37"/>
      <c r="F28" s="30"/>
    </row>
    <row r="29" customFormat="false" ht="15" hidden="false" customHeight="false" outlineLevel="0" collapsed="false">
      <c r="B29" s="49"/>
      <c r="C29" s="30"/>
      <c r="D29" s="37"/>
      <c r="E29" s="37"/>
      <c r="F29" s="30"/>
    </row>
    <row r="30" customFormat="false" ht="15" hidden="false" customHeight="false" outlineLevel="0" collapsed="false">
      <c r="B30" s="49"/>
      <c r="C30" s="30"/>
      <c r="D30" s="37"/>
      <c r="E30" s="37"/>
      <c r="F30" s="30"/>
    </row>
    <row r="31" customFormat="false" ht="15" hidden="false" customHeight="false" outlineLevel="0" collapsed="false">
      <c r="B31" s="49"/>
      <c r="C31" s="30"/>
      <c r="D31" s="37"/>
      <c r="E31" s="37"/>
      <c r="F31" s="30"/>
    </row>
    <row r="32" customFormat="false" ht="15" hidden="false" customHeight="false" outlineLevel="0" collapsed="false">
      <c r="B32" s="49"/>
      <c r="C32" s="30"/>
      <c r="D32" s="37"/>
      <c r="E32" s="37"/>
      <c r="F32" s="30"/>
    </row>
    <row r="33" customFormat="false" ht="15" hidden="false" customHeight="false" outlineLevel="0" collapsed="false">
      <c r="B33" s="49"/>
      <c r="C33" s="30"/>
      <c r="D33" s="37"/>
      <c r="E33" s="37"/>
      <c r="F33" s="30"/>
    </row>
    <row r="34" customFormat="false" ht="15" hidden="false" customHeight="false" outlineLevel="0" collapsed="false">
      <c r="B34" s="49"/>
      <c r="C34" s="30"/>
      <c r="D34" s="37"/>
      <c r="E34" s="37"/>
      <c r="F34" s="30"/>
    </row>
    <row r="35" customFormat="false" ht="15" hidden="false" customHeight="false" outlineLevel="0" collapsed="false">
      <c r="B35" s="49"/>
      <c r="C35" s="30"/>
      <c r="D35" s="37"/>
      <c r="E35" s="37"/>
      <c r="F35" s="30"/>
    </row>
    <row r="36" customFormat="false" ht="15" hidden="false" customHeight="false" outlineLevel="0" collapsed="false">
      <c r="B36" s="49"/>
      <c r="C36" s="30"/>
      <c r="D36" s="37"/>
      <c r="E36" s="37"/>
      <c r="F36" s="30"/>
    </row>
    <row r="37" customFormat="false" ht="15" hidden="false" customHeight="false" outlineLevel="0" collapsed="false">
      <c r="B37" s="49"/>
      <c r="C37" s="30"/>
      <c r="D37" s="37"/>
      <c r="E37" s="37"/>
      <c r="F37" s="30"/>
    </row>
    <row r="38" customFormat="false" ht="15" hidden="false" customHeight="false" outlineLevel="0" collapsed="false">
      <c r="B38" s="49"/>
      <c r="C38" s="30"/>
      <c r="D38" s="37"/>
      <c r="E38" s="37"/>
      <c r="F38" s="30"/>
    </row>
    <row r="39" customFormat="false" ht="15" hidden="false" customHeight="false" outlineLevel="0" collapsed="false">
      <c r="B39" s="49"/>
      <c r="C39" s="30"/>
      <c r="D39" s="37"/>
      <c r="E39" s="37"/>
      <c r="F39" s="30"/>
    </row>
    <row r="40" customFormat="false" ht="15" hidden="false" customHeight="false" outlineLevel="0" collapsed="false">
      <c r="B40" s="49"/>
      <c r="C40" s="30"/>
      <c r="D40" s="37"/>
      <c r="E40" s="37"/>
      <c r="F40" s="30"/>
    </row>
    <row r="41" customFormat="false" ht="15" hidden="false" customHeight="false" outlineLevel="0" collapsed="false">
      <c r="B41" s="49"/>
      <c r="C41" s="30"/>
      <c r="D41" s="37"/>
      <c r="E41" s="37"/>
      <c r="F41" s="30"/>
    </row>
    <row r="42" customFormat="false" ht="15" hidden="false" customHeight="false" outlineLevel="0" collapsed="false">
      <c r="B42" s="49"/>
      <c r="C42" s="30"/>
      <c r="D42" s="37"/>
      <c r="E42" s="37"/>
      <c r="F42" s="30"/>
    </row>
    <row r="43" customFormat="false" ht="15" hidden="false" customHeight="false" outlineLevel="0" collapsed="false">
      <c r="B43" s="49"/>
      <c r="C43" s="30"/>
      <c r="D43" s="37"/>
      <c r="E43" s="37"/>
      <c r="F43" s="30"/>
    </row>
    <row r="44" customFormat="false" ht="15" hidden="false" customHeight="false" outlineLevel="0" collapsed="false">
      <c r="B44" s="49"/>
      <c r="C44" s="30"/>
      <c r="D44" s="37"/>
      <c r="E44" s="37"/>
      <c r="F44" s="30"/>
    </row>
    <row r="45" customFormat="false" ht="15" hidden="false" customHeight="false" outlineLevel="0" collapsed="false">
      <c r="B45" s="49"/>
      <c r="C45" s="30"/>
      <c r="D45" s="37"/>
      <c r="E45" s="37"/>
      <c r="F45" s="30"/>
    </row>
    <row r="46" customFormat="false" ht="15" hidden="false" customHeight="false" outlineLevel="0" collapsed="false">
      <c r="B46" s="49"/>
      <c r="C46" s="30"/>
      <c r="D46" s="37"/>
      <c r="E46" s="37"/>
      <c r="F46" s="30"/>
    </row>
    <row r="47" customFormat="false" ht="15" hidden="false" customHeight="false" outlineLevel="0" collapsed="false">
      <c r="B47" s="49"/>
      <c r="C47" s="30"/>
      <c r="D47" s="37"/>
      <c r="E47" s="37"/>
      <c r="F47" s="30"/>
    </row>
    <row r="48" customFormat="false" ht="15" hidden="false" customHeight="false" outlineLevel="0" collapsed="false">
      <c r="B48" s="49"/>
      <c r="C48" s="30"/>
      <c r="D48" s="37"/>
      <c r="E48" s="37"/>
      <c r="F48" s="30"/>
    </row>
    <row r="49" customFormat="false" ht="15" hidden="false" customHeight="false" outlineLevel="0" collapsed="false">
      <c r="B49" s="49"/>
      <c r="C49" s="30"/>
      <c r="D49" s="37"/>
      <c r="E49" s="37"/>
      <c r="F49" s="30"/>
    </row>
    <row r="50" customFormat="false" ht="15" hidden="false" customHeight="false" outlineLevel="0" collapsed="false">
      <c r="B50" s="49"/>
      <c r="C50" s="30"/>
      <c r="D50" s="37"/>
      <c r="E50" s="37"/>
      <c r="F50" s="30"/>
    </row>
    <row r="51" customFormat="false" ht="15" hidden="false" customHeight="false" outlineLevel="0" collapsed="false">
      <c r="B51" s="49"/>
      <c r="C51" s="30"/>
      <c r="D51" s="37"/>
      <c r="E51" s="37"/>
      <c r="F51" s="30"/>
    </row>
    <row r="52" customFormat="false" ht="15" hidden="false" customHeight="false" outlineLevel="0" collapsed="false">
      <c r="B52" s="49"/>
      <c r="C52" s="30"/>
      <c r="D52" s="37"/>
      <c r="E52" s="37"/>
      <c r="F52" s="30"/>
    </row>
    <row r="53" customFormat="false" ht="15" hidden="false" customHeight="false" outlineLevel="0" collapsed="false">
      <c r="B53" s="49"/>
      <c r="C53" s="30"/>
      <c r="D53" s="37"/>
      <c r="E53" s="37"/>
      <c r="F53" s="30"/>
    </row>
    <row r="54" customFormat="false" ht="15" hidden="false" customHeight="false" outlineLevel="0" collapsed="false">
      <c r="B54" s="49"/>
      <c r="C54" s="30"/>
      <c r="D54" s="37"/>
      <c r="E54" s="37"/>
      <c r="F54" s="30"/>
    </row>
    <row r="55" customFormat="false" ht="15" hidden="false" customHeight="false" outlineLevel="0" collapsed="false">
      <c r="B55" s="49"/>
      <c r="C55" s="30"/>
      <c r="D55" s="37"/>
      <c r="E55" s="37"/>
      <c r="F55" s="30"/>
    </row>
    <row r="56" customFormat="false" ht="15" hidden="false" customHeight="false" outlineLevel="0" collapsed="false">
      <c r="B56" s="49"/>
      <c r="C56" s="30"/>
      <c r="D56" s="37"/>
      <c r="E56" s="37"/>
      <c r="F56" s="30"/>
    </row>
    <row r="57" customFormat="false" ht="15" hidden="false" customHeight="false" outlineLevel="0" collapsed="false">
      <c r="B57" s="49"/>
      <c r="C57" s="30"/>
      <c r="D57" s="37"/>
      <c r="E57" s="37"/>
      <c r="F57" s="30"/>
    </row>
    <row r="58" customFormat="false" ht="15" hidden="false" customHeight="false" outlineLevel="0" collapsed="false">
      <c r="B58" s="49"/>
      <c r="C58" s="30"/>
      <c r="D58" s="37"/>
      <c r="E58" s="37"/>
      <c r="F58" s="30"/>
    </row>
    <row r="59" customFormat="false" ht="15" hidden="false" customHeight="false" outlineLevel="0" collapsed="false">
      <c r="B59" s="49"/>
      <c r="C59" s="30"/>
      <c r="D59" s="37"/>
      <c r="E59" s="37"/>
      <c r="F59" s="30"/>
    </row>
    <row r="60" customFormat="false" ht="15" hidden="false" customHeight="false" outlineLevel="0" collapsed="false">
      <c r="B60" s="49"/>
      <c r="C60" s="30"/>
      <c r="D60" s="37"/>
      <c r="E60" s="37"/>
      <c r="F60" s="30"/>
    </row>
    <row r="61" customFormat="false" ht="15" hidden="false" customHeight="false" outlineLevel="0" collapsed="false">
      <c r="B61" s="49"/>
      <c r="C61" s="30"/>
      <c r="D61" s="37"/>
      <c r="E61" s="37"/>
      <c r="F61" s="30"/>
    </row>
    <row r="62" customFormat="false" ht="15" hidden="false" customHeight="false" outlineLevel="0" collapsed="false">
      <c r="B62" s="49"/>
      <c r="C62" s="30"/>
      <c r="D62" s="37"/>
      <c r="E62" s="37"/>
      <c r="F62" s="30"/>
    </row>
    <row r="63" customFormat="false" ht="15" hidden="false" customHeight="false" outlineLevel="0" collapsed="false">
      <c r="B63" s="49"/>
      <c r="C63" s="30"/>
      <c r="D63" s="37"/>
      <c r="E63" s="37"/>
      <c r="F63" s="30"/>
    </row>
    <row r="64" customFormat="false" ht="15" hidden="false" customHeight="false" outlineLevel="0" collapsed="false">
      <c r="B64" s="49"/>
      <c r="C64" s="30"/>
      <c r="D64" s="37"/>
      <c r="E64" s="37"/>
      <c r="F64" s="30"/>
    </row>
    <row r="65" customFormat="false" ht="15" hidden="false" customHeight="false" outlineLevel="0" collapsed="false">
      <c r="B65" s="49"/>
      <c r="C65" s="30"/>
      <c r="D65" s="37"/>
      <c r="E65" s="37"/>
      <c r="F65" s="30"/>
    </row>
    <row r="66" customFormat="false" ht="15" hidden="false" customHeight="false" outlineLevel="0" collapsed="false">
      <c r="B66" s="49"/>
      <c r="C66" s="30"/>
      <c r="D66" s="37"/>
      <c r="E66" s="37"/>
      <c r="F66" s="30"/>
    </row>
    <row r="67" customFormat="false" ht="15" hidden="false" customHeight="false" outlineLevel="0" collapsed="false">
      <c r="B67" s="49"/>
      <c r="C67" s="30"/>
      <c r="D67" s="37"/>
      <c r="E67" s="37"/>
      <c r="F67" s="30"/>
    </row>
    <row r="68" customFormat="false" ht="15" hidden="false" customHeight="false" outlineLevel="0" collapsed="false">
      <c r="B68" s="49"/>
      <c r="C68" s="30"/>
      <c r="D68" s="37"/>
      <c r="E68" s="37"/>
      <c r="F68" s="30"/>
    </row>
    <row r="69" customFormat="false" ht="15" hidden="false" customHeight="false" outlineLevel="0" collapsed="false">
      <c r="B69" s="49"/>
      <c r="C69" s="30"/>
      <c r="D69" s="37"/>
      <c r="E69" s="37"/>
      <c r="F69" s="30"/>
    </row>
    <row r="70" customFormat="false" ht="15" hidden="false" customHeight="false" outlineLevel="0" collapsed="false">
      <c r="B70" s="49"/>
      <c r="C70" s="30"/>
      <c r="D70" s="37"/>
      <c r="E70" s="37"/>
      <c r="F70" s="30"/>
    </row>
    <row r="71" customFormat="false" ht="15" hidden="false" customHeight="false" outlineLevel="0" collapsed="false">
      <c r="B71" s="49"/>
      <c r="C71" s="30"/>
      <c r="D71" s="37"/>
      <c r="E71" s="37"/>
      <c r="F71" s="30"/>
    </row>
    <row r="72" customFormat="false" ht="15" hidden="false" customHeight="false" outlineLevel="0" collapsed="false">
      <c r="B72" s="49"/>
      <c r="C72" s="30"/>
      <c r="D72" s="37"/>
      <c r="E72" s="37"/>
      <c r="F72" s="30"/>
    </row>
    <row r="73" customFormat="false" ht="15" hidden="false" customHeight="false" outlineLevel="0" collapsed="false">
      <c r="B73" s="49"/>
      <c r="C73" s="30"/>
      <c r="D73" s="37"/>
      <c r="E73" s="37"/>
      <c r="F73" s="30"/>
    </row>
    <row r="74" customFormat="false" ht="15" hidden="false" customHeight="false" outlineLevel="0" collapsed="false">
      <c r="B74" s="49"/>
      <c r="C74" s="30"/>
      <c r="D74" s="37"/>
      <c r="E74" s="37"/>
      <c r="F74" s="30"/>
    </row>
    <row r="75" customFormat="false" ht="15" hidden="false" customHeight="false" outlineLevel="0" collapsed="false">
      <c r="B75" s="49"/>
      <c r="C75" s="30"/>
      <c r="D75" s="37"/>
      <c r="E75" s="37"/>
      <c r="F75" s="30"/>
    </row>
    <row r="76" customFormat="false" ht="15" hidden="false" customHeight="false" outlineLevel="0" collapsed="false">
      <c r="B76" s="49"/>
      <c r="C76" s="30"/>
      <c r="D76" s="37"/>
      <c r="E76" s="37"/>
      <c r="F76" s="30"/>
    </row>
    <row r="77" customFormat="false" ht="15" hidden="false" customHeight="false" outlineLevel="0" collapsed="false">
      <c r="B77" s="49"/>
      <c r="C77" s="30"/>
      <c r="D77" s="37"/>
      <c r="E77" s="37"/>
      <c r="F77" s="30"/>
    </row>
    <row r="78" customFormat="false" ht="15" hidden="false" customHeight="false" outlineLevel="0" collapsed="false">
      <c r="B78" s="49"/>
      <c r="C78" s="30"/>
      <c r="D78" s="37"/>
      <c r="E78" s="37"/>
      <c r="F78" s="30"/>
    </row>
    <row r="79" customFormat="false" ht="15" hidden="false" customHeight="false" outlineLevel="0" collapsed="false">
      <c r="B79" s="49"/>
      <c r="C79" s="30"/>
      <c r="D79" s="37"/>
      <c r="E79" s="37"/>
      <c r="F79" s="30"/>
    </row>
    <row r="80" customFormat="false" ht="15" hidden="false" customHeight="false" outlineLevel="0" collapsed="false">
      <c r="B80" s="49"/>
      <c r="C80" s="30"/>
      <c r="D80" s="37"/>
      <c r="E80" s="37"/>
      <c r="F80" s="30"/>
    </row>
    <row r="81" customFormat="false" ht="15" hidden="false" customHeight="false" outlineLevel="0" collapsed="false">
      <c r="B81" s="49"/>
      <c r="C81" s="30"/>
      <c r="D81" s="37"/>
      <c r="E81" s="37"/>
      <c r="F81" s="30"/>
    </row>
    <row r="82" customFormat="false" ht="15" hidden="false" customHeight="false" outlineLevel="0" collapsed="false">
      <c r="B82" s="49"/>
      <c r="C82" s="30"/>
      <c r="D82" s="37"/>
      <c r="E82" s="37"/>
      <c r="F82" s="30"/>
    </row>
    <row r="83" customFormat="false" ht="15" hidden="false" customHeight="false" outlineLevel="0" collapsed="false">
      <c r="B83" s="49"/>
      <c r="C83" s="30"/>
      <c r="D83" s="37"/>
      <c r="E83" s="37"/>
      <c r="F83" s="30"/>
    </row>
    <row r="84" customFormat="false" ht="15" hidden="false" customHeight="false" outlineLevel="0" collapsed="false">
      <c r="B84" s="49"/>
      <c r="C84" s="30"/>
      <c r="D84" s="37"/>
      <c r="E84" s="37"/>
      <c r="F84" s="30"/>
    </row>
    <row r="85" customFormat="false" ht="15" hidden="false" customHeight="false" outlineLevel="0" collapsed="false">
      <c r="B85" s="49"/>
      <c r="C85" s="30"/>
      <c r="D85" s="37"/>
      <c r="E85" s="37"/>
      <c r="F85" s="30"/>
    </row>
    <row r="86" customFormat="false" ht="15" hidden="false" customHeight="false" outlineLevel="0" collapsed="false">
      <c r="B86" s="49"/>
      <c r="C86" s="30"/>
      <c r="D86" s="37"/>
      <c r="E86" s="37"/>
      <c r="F86" s="30"/>
    </row>
    <row r="87" customFormat="false" ht="15" hidden="false" customHeight="false" outlineLevel="0" collapsed="false">
      <c r="B87" s="49"/>
      <c r="C87" s="30"/>
      <c r="D87" s="37"/>
      <c r="E87" s="37"/>
      <c r="F87" s="30"/>
    </row>
    <row r="88" customFormat="false" ht="15" hidden="false" customHeight="false" outlineLevel="0" collapsed="false">
      <c r="B88" s="49"/>
      <c r="C88" s="30"/>
      <c r="D88" s="37"/>
      <c r="E88" s="37"/>
      <c r="F88" s="30"/>
    </row>
    <row r="89" customFormat="false" ht="15" hidden="false" customHeight="false" outlineLevel="0" collapsed="false">
      <c r="B89" s="49"/>
      <c r="C89" s="30"/>
      <c r="D89" s="37"/>
      <c r="E89" s="37"/>
      <c r="F89" s="30"/>
    </row>
    <row r="90" customFormat="false" ht="15" hidden="false" customHeight="false" outlineLevel="0" collapsed="false">
      <c r="B90" s="49"/>
      <c r="C90" s="30"/>
      <c r="D90" s="37"/>
      <c r="E90" s="37"/>
      <c r="F90" s="30"/>
    </row>
    <row r="91" customFormat="false" ht="15" hidden="false" customHeight="false" outlineLevel="0" collapsed="false">
      <c r="B91" s="49"/>
      <c r="C91" s="30"/>
      <c r="D91" s="37"/>
      <c r="E91" s="37"/>
      <c r="F91" s="30"/>
    </row>
    <row r="92" customFormat="false" ht="15" hidden="false" customHeight="false" outlineLevel="0" collapsed="false">
      <c r="B92" s="49"/>
      <c r="C92" s="30"/>
      <c r="D92" s="37"/>
      <c r="E92" s="37"/>
      <c r="F92" s="30"/>
    </row>
    <row r="93" customFormat="false" ht="15" hidden="false" customHeight="false" outlineLevel="0" collapsed="false">
      <c r="B93" s="49"/>
      <c r="C93" s="30"/>
      <c r="D93" s="37"/>
      <c r="E93" s="37"/>
      <c r="F93" s="30"/>
    </row>
    <row r="94" customFormat="false" ht="15" hidden="false" customHeight="false" outlineLevel="0" collapsed="false">
      <c r="B94" s="49"/>
      <c r="C94" s="30"/>
      <c r="D94" s="37"/>
      <c r="E94" s="37"/>
      <c r="F94" s="30"/>
    </row>
    <row r="95" customFormat="false" ht="15" hidden="false" customHeight="false" outlineLevel="0" collapsed="false">
      <c r="B95" s="49"/>
      <c r="C95" s="30"/>
      <c r="D95" s="37"/>
      <c r="E95" s="37"/>
      <c r="F95" s="30"/>
    </row>
    <row r="96" customFormat="false" ht="15" hidden="false" customHeight="false" outlineLevel="0" collapsed="false">
      <c r="B96" s="49"/>
      <c r="C96" s="30"/>
      <c r="D96" s="37"/>
      <c r="E96" s="37"/>
      <c r="F96" s="30"/>
    </row>
    <row r="97" customFormat="false" ht="15" hidden="false" customHeight="false" outlineLevel="0" collapsed="false">
      <c r="B97" s="49"/>
      <c r="C97" s="30"/>
      <c r="D97" s="37"/>
      <c r="E97" s="37"/>
      <c r="F97" s="30"/>
    </row>
    <row r="98" customFormat="false" ht="15" hidden="false" customHeight="false" outlineLevel="0" collapsed="false">
      <c r="B98" s="49"/>
      <c r="C98" s="30"/>
      <c r="D98" s="37"/>
      <c r="E98" s="37"/>
      <c r="F98" s="30"/>
    </row>
    <row r="99" customFormat="false" ht="15" hidden="false" customHeight="false" outlineLevel="0" collapsed="false">
      <c r="B99" s="49"/>
      <c r="C99" s="30"/>
      <c r="D99" s="37"/>
      <c r="E99" s="37"/>
      <c r="F99" s="30"/>
    </row>
    <row r="100" customFormat="false" ht="15" hidden="false" customHeight="false" outlineLevel="0" collapsed="false">
      <c r="B100" s="49"/>
      <c r="C100" s="30"/>
      <c r="D100" s="37"/>
      <c r="E100" s="37"/>
      <c r="F100" s="30"/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2" customFormat="false" ht="39.75" hidden="false" customHeight="true" outlineLevel="0" collapsed="false">
      <c r="B2" s="50" t="s">
        <v>166</v>
      </c>
    </row>
    <row r="3" customFormat="false" ht="15" hidden="false" customHeight="false" outlineLevel="0" collapsed="false">
      <c r="B3" s="51" t="s">
        <v>167</v>
      </c>
    </row>
    <row r="5" customFormat="false" ht="24" hidden="false" customHeight="true" outlineLevel="0" collapsed="false">
      <c r="B5" s="52" t="s">
        <v>168</v>
      </c>
    </row>
    <row r="6" customFormat="false" ht="39.75" hidden="false" customHeight="true" outlineLevel="0" collapsed="false">
      <c r="B6" s="53" t="s">
        <v>169</v>
      </c>
    </row>
    <row r="8" customFormat="false" ht="24" hidden="false" customHeight="true" outlineLevel="0" collapsed="false">
      <c r="B8" s="52" t="s">
        <v>170</v>
      </c>
    </row>
    <row r="9" customFormat="false" ht="99.75" hidden="false" customHeight="true" outlineLevel="0" collapsed="false">
      <c r="B9" s="53" t="s">
        <v>171</v>
      </c>
    </row>
    <row r="11" customFormat="false" ht="24" hidden="false" customHeight="true" outlineLevel="0" collapsed="false">
      <c r="B11" s="52" t="s">
        <v>172</v>
      </c>
    </row>
    <row r="12" customFormat="false" ht="159.75" hidden="false" customHeight="true" outlineLevel="0" collapsed="false">
      <c r="B12" s="53" t="s">
        <v>173</v>
      </c>
    </row>
    <row r="14" customFormat="false" ht="24" hidden="false" customHeight="true" outlineLevel="0" collapsed="false">
      <c r="B14" s="52" t="s">
        <v>174</v>
      </c>
    </row>
    <row r="15" customFormat="false" ht="60" hidden="false" customHeight="true" outlineLevel="0" collapsed="false">
      <c r="B15" s="53" t="s">
        <v>175</v>
      </c>
    </row>
    <row r="17" customFormat="false" ht="24" hidden="false" customHeight="true" outlineLevel="0" collapsed="false">
      <c r="B17" s="52" t="s">
        <v>176</v>
      </c>
    </row>
    <row r="18" customFormat="false" ht="60" hidden="false" customHeight="true" outlineLevel="0" collapsed="false">
      <c r="B18" s="53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2026-05-03T15:38:44Z</dcterms:created>
  <dc:creator>openpyxl</dc:creator>
  <dc:description/>
  <dc:language>en-US</dc:language>
  <cp:lastModifiedBy/>
  <dcterms:modified xsi:type="dcterms:W3CDTF">2026-05-03T15:38:48Z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